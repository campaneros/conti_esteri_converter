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<sst xmlns="http://schemas.openxmlformats.org/spreadsheetml/2006/main" uniqueCount="9">
  <si>
    <t>data</t>
  </si>
  <si>
    <t>causale</t>
  </si>
  <si>
    <t>entrate</t>
  </si>
  <si>
    <t>uscite</t>
  </si>
  <si>
    <t>saldo</t>
  </si>
  <si>
    <t>cambio</t>
  </si>
  <si>
    <t>in euro</t>
  </si>
  <si>
    <t>gg</t>
  </si>
  <si>
    <t>saldo 1.1.2025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</si>
</sst>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 &quot;* (#,##0.00);&quot; &quot;* &quot;-&quot;??&quot; &quot;"/>
    <numFmt numFmtId="60" formatCode="&quot; &quot;* #,##0.00000&quot; &quot;;&quot; &quot;* (#,##0.00000);&quot; &quot;* &quot;-&quot;??&quot; &quot;"/>
    <numFmt numFmtId="61" formatCode="[s].000&quot;s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 Light"/>
    </font>
    <font>
      <sz val="10"/>
      <color indexed="8"/>
      <name val="Calibri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1" fontId="3" borderId="1" applyNumberFormat="1" applyFont="1" applyFill="0" applyBorder="1" applyAlignment="1" applyProtection="0">
      <alignment horizontal="center" vertical="bottom"/>
    </xf>
    <xf numFmtId="59" fontId="3" borderId="1" applyNumberFormat="1" applyFont="1" applyFill="0" applyBorder="1" applyAlignment="1" applyProtection="0">
      <alignment horizontal="center" vertical="bottom"/>
    </xf>
    <xf numFmtId="4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14" fontId="3" borderId="1" applyNumberFormat="1" applyFont="1" applyFill="0" applyBorder="1" applyAlignment="1" applyProtection="0">
      <alignment horizontal="left" vertical="bottom"/>
    </xf>
    <xf numFmtId="49" fontId="3" borderId="1" applyNumberFormat="1" applyFont="1" applyFill="0" applyBorder="1" applyAlignment="1" applyProtection="0">
      <alignment horizontal="left" vertical="bottom"/>
    </xf>
    <xf numFmtId="4" fontId="3" borderId="1" applyNumberFormat="1" applyFont="1" applyFill="0" applyBorder="1" applyAlignment="1" applyProtection="0">
      <alignment vertical="bottom"/>
    </xf>
    <xf numFmtId="4" fontId="3" borderId="1" applyNumberFormat="1" applyFont="1" applyFill="0" applyBorder="1" applyAlignment="1" applyProtection="0">
      <alignment horizontal="right" vertical="bottom"/>
    </xf>
    <xf numFmtId="0" fontId="3" borderId="1" applyNumberFormat="0" applyFont="1" applyFill="0" applyBorder="1" applyAlignment="1" applyProtection="0">
      <alignment horizontal="right" vertical="bottom"/>
    </xf>
    <xf numFmtId="60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left" vertical="bottom"/>
    </xf>
    <xf numFmtId="61" fontId="3" borderId="1" applyNumberFormat="1" applyFont="1" applyFill="0" applyBorder="1" applyAlignment="1" applyProtection="0">
      <alignment horizontal="right" vertical="bottom"/>
    </xf>
    <xf numFmtId="0" fontId="4" borderId="1" applyNumberFormat="0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1" fontId="3" borderId="1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45"/>
  <sheetViews>
    <sheetView workbookViewId="0" showGridLines="0" defaultGridColor="1"/>
  </sheetViews>
  <sheetFormatPr defaultColWidth="8.83333" defaultRowHeight="15" customHeight="1" outlineLevelRow="0" outlineLevelCol="0"/>
  <cols>
    <col min="1" max="1" width="12.3516" style="1" customWidth="1"/>
    <col min="2" max="2" width="29" style="1" customWidth="1"/>
    <col min="3" max="3" width="13" style="1" customWidth="1"/>
    <col min="4" max="4" width="14.5" style="1" customWidth="1"/>
    <col min="5" max="5" width="11.5" style="1" customWidth="1"/>
    <col min="6" max="6" width="8.85156" style="1" customWidth="1"/>
    <col min="7" max="7" width="13" style="1" customWidth="1"/>
    <col min="8" max="8" width="8.85156" style="1" customWidth="1"/>
    <col min="9" max="10" width="10.8516" style="1" customWidth="1"/>
    <col min="11" max="11" width="12.5" style="1" customWidth="1"/>
    <col min="12" max="12" width="11.8516" style="1" customWidth="1"/>
    <col min="13" max="13" width="8.85156" style="1" customWidth="1"/>
    <col min="14" max="14" width="16.5" style="1" customWidth="1"/>
    <col min="1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4"/>
      <c r="H1" s="4"/>
      <c r="I1" t="s" s="2">
        <v>5</v>
      </c>
      <c r="J1" t="s" s="2">
        <v>6</v>
      </c>
      <c r="K1" s="5"/>
      <c r="L1" t="s" s="2">
        <v>4</v>
      </c>
      <c r="M1" t="s" s="2">
        <v>7</v>
      </c>
      <c r="N1" s="6"/>
    </row>
    <row r="2" ht="13.55" customHeight="1">
      <c r="A2" s="7">
        <v>45657</v>
      </c>
      <c r="B2" t="s" s="8">
        <v>8</v>
      </c>
      <c r="C2" s="9">
        <v>1605.36</v>
      </c>
      <c r="D2" s="9"/>
      <c r="E2" s="10" cm="1">
        <f t="array" ref="E2">C2</f>
        <v>1605.36</v>
      </c>
      <c r="F2" s="11" cm="1">
        <f t="array" ref="F2">A3-A2</f>
        <v>9</v>
      </c>
      <c r="G2" s="10" cm="1">
        <f t="array" ref="G2">F2*E2</f>
        <v>14448.24</v>
      </c>
      <c r="H2" s="4"/>
      <c r="I2" s="12">
        <v>0.82965</v>
      </c>
      <c r="J2" s="10" cm="1">
        <f t="array" ref="J2">C2/I2</f>
        <v>1934.984632073770</v>
      </c>
      <c r="K2" s="10"/>
      <c r="L2" s="10" cm="1">
        <f t="array" ref="L2">J2</f>
        <v>1934.984632073770</v>
      </c>
      <c r="M2" s="11" cm="1">
        <f t="array" ref="M2">F2</f>
        <v>9</v>
      </c>
      <c r="N2" s="10" cm="1">
        <f t="array" ref="N2">M2*L2</f>
        <v>17414.8616886639</v>
      </c>
    </row>
    <row r="3" ht="13.55" customHeight="1">
      <c r="A3" s="7">
        <v>45666</v>
      </c>
      <c r="B3" s="13"/>
      <c r="C3" s="9">
        <v>1000</v>
      </c>
      <c r="D3" s="9"/>
      <c r="E3" s="10" cm="1">
        <f t="array" ref="E3">E2+C3-D3</f>
        <v>2605.36</v>
      </c>
      <c r="F3" s="14" cm="1">
        <f t="array" ref="F3">A4-A3</f>
        <v>0</v>
      </c>
      <c r="G3" s="10" cm="1">
        <f t="array" ref="G3">F3*E3</f>
        <v>0</v>
      </c>
      <c r="H3" s="4"/>
      <c r="I3" s="12">
        <v>0.83118</v>
      </c>
      <c r="J3" s="10" cm="1">
        <f t="array" ref="J3">C3/I3</f>
        <v>1203.108833225050</v>
      </c>
      <c r="K3" s="10"/>
      <c r="L3" s="10" cm="1">
        <f t="array" ref="L3">L2+J3-K3</f>
        <v>3138.093465298820</v>
      </c>
      <c r="M3" s="14" cm="1">
        <f t="array" ref="M3">F3</f>
        <v>0</v>
      </c>
      <c r="N3" s="10" cm="1">
        <f t="array" ref="N3">M3*L3</f>
        <v>0</v>
      </c>
    </row>
    <row r="4" ht="13.55" customHeight="1">
      <c r="A4" s="7">
        <v>45666</v>
      </c>
      <c r="B4" s="13"/>
      <c r="C4" s="9">
        <v>2500</v>
      </c>
      <c r="D4" s="9"/>
      <c r="E4" s="10" cm="1">
        <f t="array" ref="E4">E3+C4-D4</f>
        <v>5105.36</v>
      </c>
      <c r="F4" s="11" cm="1">
        <f t="array" ref="F4">A5-A4</f>
        <v>4</v>
      </c>
      <c r="G4" s="10" cm="1">
        <f t="array" ref="G4">F4*E4</f>
        <v>20421.44</v>
      </c>
      <c r="H4" s="4"/>
      <c r="I4" s="12" cm="1">
        <f t="array" ref="I4">I3</f>
        <v>0.83118</v>
      </c>
      <c r="J4" s="10" cm="1">
        <f t="array" ref="J4">C4/I4</f>
        <v>3007.772083062630</v>
      </c>
      <c r="K4" s="10"/>
      <c r="L4" s="10" cm="1">
        <f t="array" ref="L4">L3+J4-K4</f>
        <v>6145.865548361450</v>
      </c>
      <c r="M4" s="11" cm="1">
        <f t="array" ref="M4">F4</f>
        <v>4</v>
      </c>
      <c r="N4" s="10" cm="1">
        <f t="array" ref="N4">M4*L4</f>
        <v>24583.4621934458</v>
      </c>
    </row>
    <row r="5" ht="13.55" customHeight="1">
      <c r="A5" s="7">
        <v>45670</v>
      </c>
      <c r="B5" s="13"/>
      <c r="C5" s="9"/>
      <c r="D5" s="9">
        <v>3000</v>
      </c>
      <c r="E5" s="10" cm="1">
        <f t="array" ref="E5">E4+C5-D5</f>
        <v>2105.36</v>
      </c>
      <c r="F5" s="11" cm="1">
        <f t="array" ref="F5">A6-A5</f>
        <v>7</v>
      </c>
      <c r="G5" s="10" cm="1">
        <f t="array" ref="G5">F5*E5</f>
        <v>14737.52</v>
      </c>
      <c r="H5" s="4"/>
      <c r="I5" s="12">
        <v>0.8309800000000001</v>
      </c>
      <c r="J5" s="10"/>
      <c r="K5" s="10" cm="1">
        <f t="array" ref="K5">D5/I5</f>
        <v>3610.195191220010</v>
      </c>
      <c r="L5" s="10" cm="1">
        <f t="array" ref="L5">L4+J5-K5</f>
        <v>2535.670357141440</v>
      </c>
      <c r="M5" s="11" cm="1">
        <f t="array" ref="M5">F5</f>
        <v>7</v>
      </c>
      <c r="N5" s="10" cm="1">
        <f t="array" ref="N5">M5*L5</f>
        <v>17749.6924999901</v>
      </c>
    </row>
    <row r="6" ht="13.75" customHeight="1">
      <c r="A6" s="7">
        <v>45677</v>
      </c>
      <c r="B6" s="15"/>
      <c r="C6" s="9">
        <v>600</v>
      </c>
      <c r="D6" s="9"/>
      <c r="E6" s="10" cm="1">
        <f t="array" ref="E6">E5+C6-D6</f>
        <v>2705.36</v>
      </c>
      <c r="F6" s="11" cm="1">
        <f t="array" ref="F6">A7-A6</f>
        <v>4</v>
      </c>
      <c r="G6" s="10" cm="1">
        <f t="array" ref="G6">F6*E6</f>
        <v>10821.44</v>
      </c>
      <c r="H6" s="4"/>
      <c r="I6" s="12">
        <v>0.8416</v>
      </c>
      <c r="J6" s="10" cm="1">
        <f t="array" ref="J6">C6/I6</f>
        <v>712.927756653992</v>
      </c>
      <c r="K6" s="10"/>
      <c r="L6" s="10" cm="1">
        <f t="array" ref="L6">L5+J6-K6</f>
        <v>3248.598113795430</v>
      </c>
      <c r="M6" s="11" cm="1">
        <f t="array" ref="M6">F6</f>
        <v>4</v>
      </c>
      <c r="N6" s="10" cm="1">
        <f t="array" ref="N6">M6*L6</f>
        <v>12994.3924551817</v>
      </c>
    </row>
    <row r="7" ht="13.55" customHeight="1">
      <c r="A7" s="7">
        <v>45681</v>
      </c>
      <c r="B7" s="13"/>
      <c r="C7" s="9">
        <v>14824.2</v>
      </c>
      <c r="D7" s="9"/>
      <c r="E7" s="10" cm="1">
        <f t="array" ref="E7">E6+C7-D7</f>
        <v>17529.56</v>
      </c>
      <c r="F7" s="14" cm="1">
        <f t="array" ref="F7">A8-A7</f>
        <v>0</v>
      </c>
      <c r="G7" s="10" cm="1">
        <f t="array" ref="G7">F7*E7</f>
        <v>0</v>
      </c>
      <c r="H7" s="4"/>
      <c r="I7" s="12">
        <v>0.84453</v>
      </c>
      <c r="J7" s="10" cm="1">
        <f t="array" ref="J7">C7/I7</f>
        <v>17553.1952683741</v>
      </c>
      <c r="K7" s="10"/>
      <c r="L7" s="10" cm="1">
        <f t="array" ref="L7">L6+J7-K7</f>
        <v>20801.7933821695</v>
      </c>
      <c r="M7" s="14" cm="1">
        <f t="array" ref="M7">F7</f>
        <v>0</v>
      </c>
      <c r="N7" s="10" cm="1">
        <f t="array" ref="N7">M7*L7</f>
        <v>0</v>
      </c>
    </row>
    <row r="8" ht="13.55" customHeight="1">
      <c r="A8" s="7">
        <v>45681</v>
      </c>
      <c r="B8" s="13"/>
      <c r="C8" s="9"/>
      <c r="D8" s="9">
        <v>14824.2</v>
      </c>
      <c r="E8" s="10" cm="1">
        <f t="array" ref="E8">E7+C8-D8</f>
        <v>2705.36</v>
      </c>
      <c r="F8" s="11" cm="1">
        <f t="array" ref="F8">A9-A8</f>
        <v>10</v>
      </c>
      <c r="G8" s="10" cm="1">
        <f t="array" ref="G8">F8*E8</f>
        <v>27053.6</v>
      </c>
      <c r="H8" s="4"/>
      <c r="I8" s="12" cm="1">
        <f t="array" ref="I8">I7</f>
        <v>0.84453</v>
      </c>
      <c r="J8" s="10"/>
      <c r="K8" s="10" cm="1">
        <f t="array" ref="K8">D8/I8</f>
        <v>17553.1952683741</v>
      </c>
      <c r="L8" s="10" cm="1">
        <f t="array" ref="L8">L7+J8-K8</f>
        <v>3248.5981137954</v>
      </c>
      <c r="M8" s="11" cm="1">
        <f t="array" ref="M8">F8</f>
        <v>10</v>
      </c>
      <c r="N8" s="10" cm="1">
        <f t="array" ref="N8">M8*L8</f>
        <v>32485.981137954</v>
      </c>
    </row>
    <row r="9" ht="13.55" customHeight="1">
      <c r="A9" s="7">
        <v>45691</v>
      </c>
      <c r="B9" s="16"/>
      <c r="C9" s="9"/>
      <c r="D9" s="9">
        <v>1276</v>
      </c>
      <c r="E9" s="10" cm="1">
        <f t="array" ref="E9">E8+C9-D9</f>
        <v>1429.36</v>
      </c>
      <c r="F9" s="14" cm="1">
        <f t="array" ref="F9">A10-A9</f>
        <v>0</v>
      </c>
      <c r="G9" s="10" cm="1">
        <f t="array" ref="G9">F9*E9</f>
        <v>0</v>
      </c>
      <c r="H9" s="4"/>
      <c r="I9" s="12">
        <v>0.84106</v>
      </c>
      <c r="J9" s="10"/>
      <c r="K9" s="10" cm="1">
        <f t="array" ref="K9">D9/I9</f>
        <v>1517.1331415119</v>
      </c>
      <c r="L9" s="10" cm="1">
        <f t="array" ref="L9">L8+J9-K9</f>
        <v>1731.4649722835</v>
      </c>
      <c r="M9" s="14" cm="1">
        <f t="array" ref="M9">F9</f>
        <v>0</v>
      </c>
      <c r="N9" s="10" cm="1">
        <f t="array" ref="N9">M9*L9</f>
        <v>0</v>
      </c>
    </row>
    <row r="10" ht="13.55" customHeight="1">
      <c r="A10" s="7">
        <v>45691</v>
      </c>
      <c r="B10" s="13"/>
      <c r="C10" s="9">
        <v>1000</v>
      </c>
      <c r="D10" s="9"/>
      <c r="E10" s="10" cm="1">
        <f t="array" ref="E10">E9+C10-D10</f>
        <v>2429.36</v>
      </c>
      <c r="F10" s="11" cm="1">
        <f t="array" ref="F10">A11-A10</f>
        <v>7</v>
      </c>
      <c r="G10" s="10" cm="1">
        <f t="array" ref="G10">F10*E10</f>
        <v>17005.52</v>
      </c>
      <c r="H10" s="4"/>
      <c r="I10" s="12" cm="1">
        <f t="array" ref="I10">I9</f>
        <v>0.84106</v>
      </c>
      <c r="J10" s="10" cm="1">
        <f t="array" ref="J10">C10/I10</f>
        <v>1188.9758162319</v>
      </c>
      <c r="K10" s="10"/>
      <c r="L10" s="10" cm="1">
        <f t="array" ref="L10">L9+J10-K10</f>
        <v>2920.4407885154</v>
      </c>
      <c r="M10" s="11" cm="1">
        <f t="array" ref="M10">F10</f>
        <v>7</v>
      </c>
      <c r="N10" s="10" cm="1">
        <f t="array" ref="N10">M10*L10</f>
        <v>20443.0855196078</v>
      </c>
    </row>
    <row r="11" ht="13.55" customHeight="1">
      <c r="A11" s="7">
        <v>45698</v>
      </c>
      <c r="B11" s="13"/>
      <c r="C11" s="9">
        <v>1000</v>
      </c>
      <c r="D11" s="9"/>
      <c r="E11" s="10" cm="1">
        <f t="array" ref="E11">E10+C11-D11</f>
        <v>3429.36</v>
      </c>
      <c r="F11" s="11" cm="1">
        <f t="array" ref="F11">A12-A11</f>
        <v>7</v>
      </c>
      <c r="G11" s="10" cm="1">
        <f t="array" ref="G11">F11*E11</f>
        <v>24005.52</v>
      </c>
      <c r="H11" s="4"/>
      <c r="I11" s="12">
        <v>0.83136</v>
      </c>
      <c r="J11" s="10" cm="1">
        <f t="array" ref="J11">C11/I11</f>
        <v>1202.848344880680</v>
      </c>
      <c r="K11" s="10"/>
      <c r="L11" s="10" cm="1">
        <f t="array" ref="L11">L10+J11-K11</f>
        <v>4123.289133396080</v>
      </c>
      <c r="M11" s="11" cm="1">
        <f t="array" ref="M11">F11</f>
        <v>7</v>
      </c>
      <c r="N11" s="10" cm="1">
        <f t="array" ref="N11">M11*L11</f>
        <v>28863.0239337726</v>
      </c>
    </row>
    <row r="12" ht="13.55" customHeight="1">
      <c r="A12" s="7">
        <v>45705</v>
      </c>
      <c r="B12" s="13"/>
      <c r="C12" s="9"/>
      <c r="D12" s="9">
        <v>700</v>
      </c>
      <c r="E12" s="10" cm="1">
        <f t="array" ref="E12">E11+C12-D12</f>
        <v>2729.36</v>
      </c>
      <c r="F12" s="11" cm="1">
        <f t="array" ref="F12">A13-A12</f>
        <v>8</v>
      </c>
      <c r="G12" s="10" cm="1">
        <f t="array" ref="G12">F12*E12</f>
        <v>21834.88</v>
      </c>
      <c r="H12" s="4"/>
      <c r="I12" s="12">
        <v>0.83283</v>
      </c>
      <c r="J12" s="10"/>
      <c r="K12" s="10" cm="1">
        <f t="array" ref="K12">D12/I12</f>
        <v>840.507666630645</v>
      </c>
      <c r="L12" s="10" cm="1">
        <f t="array" ref="L12">L11+J12-K12</f>
        <v>3282.781466765440</v>
      </c>
      <c r="M12" s="11" cm="1">
        <f t="array" ref="M12">F12</f>
        <v>8</v>
      </c>
      <c r="N12" s="10" cm="1">
        <f t="array" ref="N12">M12*L12</f>
        <v>26262.2517341235</v>
      </c>
    </row>
    <row r="13" ht="13.75" customHeight="1">
      <c r="A13" s="7">
        <v>45713</v>
      </c>
      <c r="B13" s="15"/>
      <c r="C13" s="9">
        <v>600</v>
      </c>
      <c r="D13" s="9"/>
      <c r="E13" s="10" cm="1">
        <f t="array" ref="E13">E12+C13-D13</f>
        <v>3329.36</v>
      </c>
      <c r="F13" s="11" cm="1">
        <f t="array" ref="F13">A14-A13</f>
        <v>3</v>
      </c>
      <c r="G13" s="10" cm="1">
        <f t="array" ref="G13">F13*E13</f>
        <v>9988.08</v>
      </c>
      <c r="H13" s="4"/>
      <c r="I13" s="12">
        <v>0.83025</v>
      </c>
      <c r="J13" s="10" cm="1">
        <f t="array" ref="J13">C13/I13</f>
        <v>722.673893405601</v>
      </c>
      <c r="K13" s="10"/>
      <c r="L13" s="10" cm="1">
        <f t="array" ref="L13">L12+J13-K13</f>
        <v>4005.455360171040</v>
      </c>
      <c r="M13" s="11" cm="1">
        <f t="array" ref="M13">F13</f>
        <v>3</v>
      </c>
      <c r="N13" s="10" cm="1">
        <f t="array" ref="N13">M13*L13</f>
        <v>12016.3660805131</v>
      </c>
    </row>
    <row r="14" ht="13.55" customHeight="1">
      <c r="A14" s="7">
        <v>45716</v>
      </c>
      <c r="B14" s="13"/>
      <c r="C14" s="9">
        <v>2000</v>
      </c>
      <c r="D14" s="9"/>
      <c r="E14" s="10" cm="1">
        <f t="array" ref="E14">E13+C14-D14</f>
        <v>5329.36</v>
      </c>
      <c r="F14" s="14" cm="1">
        <f t="array" ref="F14">A15-A14</f>
        <v>0</v>
      </c>
      <c r="G14" s="10" cm="1">
        <f t="array" ref="G14">F14*E14</f>
        <v>0</v>
      </c>
      <c r="H14" s="4"/>
      <c r="I14" s="12">
        <v>0.8276</v>
      </c>
      <c r="J14" s="10" cm="1">
        <f t="array" ref="J14">C14/I14</f>
        <v>2416.626389560170</v>
      </c>
      <c r="K14" s="10"/>
      <c r="L14" s="10" cm="1">
        <f t="array" ref="L14">L13+J14-K14</f>
        <v>6422.081749731210</v>
      </c>
      <c r="M14" s="14" cm="1">
        <f t="array" ref="M14">F14</f>
        <v>0</v>
      </c>
      <c r="N14" s="10" cm="1">
        <f t="array" ref="N14">M14*L14</f>
        <v>0</v>
      </c>
    </row>
    <row r="15" ht="13.55" customHeight="1">
      <c r="A15" s="7">
        <v>45716</v>
      </c>
      <c r="B15" s="13"/>
      <c r="C15" s="9"/>
      <c r="D15" s="9">
        <v>3510.77</v>
      </c>
      <c r="E15" s="10" cm="1">
        <f t="array" ref="E15">E14+C15-D15</f>
        <v>1818.59</v>
      </c>
      <c r="F15" s="11" cm="1">
        <f t="array" ref="F15">A16-A15</f>
        <v>5</v>
      </c>
      <c r="G15" s="10" cm="1">
        <f t="array" ref="G15">F15*E15</f>
        <v>9092.950000000001</v>
      </c>
      <c r="H15" s="4"/>
      <c r="I15" s="12" cm="1">
        <f t="array" ref="I15">I14</f>
        <v>0.8276</v>
      </c>
      <c r="J15" s="10"/>
      <c r="K15" s="10" cm="1">
        <f t="array" ref="K15">D15/I15</f>
        <v>4242.109714838090</v>
      </c>
      <c r="L15" s="10" cm="1">
        <f t="array" ref="L15">L14+J15-K15</f>
        <v>2179.972034893120</v>
      </c>
      <c r="M15" s="11" cm="1">
        <f t="array" ref="M15">F15</f>
        <v>5</v>
      </c>
      <c r="N15" s="10" cm="1">
        <f t="array" ref="N15">M15*L15</f>
        <v>10899.8601744656</v>
      </c>
    </row>
    <row r="16" ht="13.55" customHeight="1">
      <c r="A16" s="7">
        <v>45721</v>
      </c>
      <c r="B16" s="13"/>
      <c r="C16" s="9"/>
      <c r="D16" s="9">
        <v>597.6</v>
      </c>
      <c r="E16" s="10" cm="1">
        <f t="array" ref="E16">E15+C16-D16</f>
        <v>1220.99</v>
      </c>
      <c r="F16" s="11" cm="1">
        <f t="array" ref="F16">A17-A16</f>
        <v>6</v>
      </c>
      <c r="G16" s="10" cm="1">
        <f t="array" ref="G16">F16*E16</f>
        <v>7325.94</v>
      </c>
      <c r="H16" s="4"/>
      <c r="I16" s="12">
        <v>0.82868</v>
      </c>
      <c r="J16" s="10"/>
      <c r="K16" s="10" cm="1">
        <f t="array" ref="K16">D16/I16</f>
        <v>721.146884201381</v>
      </c>
      <c r="L16" s="10" cm="1">
        <f t="array" ref="L16">L15+J16-K16</f>
        <v>1458.825150691740</v>
      </c>
      <c r="M16" s="11" cm="1">
        <f t="array" ref="M16">F16</f>
        <v>6</v>
      </c>
      <c r="N16" s="10" cm="1">
        <f t="array" ref="N16">M16*L16</f>
        <v>8752.950904150441</v>
      </c>
    </row>
    <row r="17" ht="13.55" customHeight="1">
      <c r="A17" s="7">
        <v>45727</v>
      </c>
      <c r="B17" s="13"/>
      <c r="C17" s="9">
        <v>1000</v>
      </c>
      <c r="D17" s="9"/>
      <c r="E17" s="10" cm="1">
        <f t="array" ref="E17">E16+C17-D17</f>
        <v>2220.99</v>
      </c>
      <c r="F17" s="11" cm="1">
        <f t="array" ref="F17">A18-A17</f>
        <v>9</v>
      </c>
      <c r="G17" s="10" cm="1">
        <f t="array" ref="G17">F17*E17</f>
        <v>19988.91</v>
      </c>
      <c r="H17" s="4"/>
      <c r="I17" s="12">
        <v>0.8278799999999999</v>
      </c>
      <c r="J17" s="10" cm="1">
        <f t="array" ref="J17">C17/I17</f>
        <v>1207.904527226170</v>
      </c>
      <c r="K17" s="10"/>
      <c r="L17" s="10" cm="1">
        <f t="array" ref="L17">L16+J17-K17</f>
        <v>2666.729677917910</v>
      </c>
      <c r="M17" s="11" cm="1">
        <f t="array" ref="M17">F17</f>
        <v>9</v>
      </c>
      <c r="N17" s="10" cm="1">
        <f t="array" ref="N17">M17*L17</f>
        <v>24000.5671012612</v>
      </c>
    </row>
    <row r="18" ht="13.75" customHeight="1">
      <c r="A18" s="7">
        <v>45736</v>
      </c>
      <c r="B18" s="15"/>
      <c r="C18" s="9">
        <v>600</v>
      </c>
      <c r="D18" s="9"/>
      <c r="E18" s="10" cm="1">
        <f t="array" ref="E18">E17+C18-D18</f>
        <v>2820.99</v>
      </c>
      <c r="F18" s="11" cm="1">
        <f t="array" ref="F18">A19-A18</f>
        <v>20</v>
      </c>
      <c r="G18" s="10" cm="1">
        <f t="array" ref="G18">F18*E18</f>
        <v>56419.8</v>
      </c>
      <c r="H18" s="4"/>
      <c r="I18" s="12">
        <v>0.83778</v>
      </c>
      <c r="J18" s="10" cm="1">
        <f t="array" ref="J18">C18/I18</f>
        <v>716.1784716751411</v>
      </c>
      <c r="K18" s="10"/>
      <c r="L18" s="10" cm="1">
        <f t="array" ref="L18">L17+J18-K18</f>
        <v>3382.908149593050</v>
      </c>
      <c r="M18" s="11" cm="1">
        <f t="array" ref="M18">F18</f>
        <v>20</v>
      </c>
      <c r="N18" s="10" cm="1">
        <f t="array" ref="N18">M18*L18</f>
        <v>67658.162991861</v>
      </c>
    </row>
    <row r="19" ht="13.55" customHeight="1">
      <c r="A19" s="7">
        <v>45756</v>
      </c>
      <c r="B19" s="13"/>
      <c r="C19" s="9">
        <v>1000</v>
      </c>
      <c r="D19" s="9"/>
      <c r="E19" s="10" cm="1">
        <f t="array" ref="E19">E18+C19-D19</f>
        <v>3820.99</v>
      </c>
      <c r="F19" s="11" cm="1">
        <f t="array" ref="F19">A20-A19</f>
        <v>11</v>
      </c>
      <c r="G19" s="10" cm="1">
        <f t="array" ref="G19">F19*E19</f>
        <v>42030.89</v>
      </c>
      <c r="H19" s="4"/>
      <c r="I19" s="12">
        <v>0.83455</v>
      </c>
      <c r="J19" s="10" cm="1">
        <f t="array" ref="J19">C19/I19</f>
        <v>1198.250554190880</v>
      </c>
      <c r="K19" s="10"/>
      <c r="L19" s="10" cm="1">
        <f t="array" ref="L19">L18+J19-K19</f>
        <v>4581.158703783930</v>
      </c>
      <c r="M19" s="11" cm="1">
        <f t="array" ref="M19">F19</f>
        <v>11</v>
      </c>
      <c r="N19" s="10" cm="1">
        <f t="array" ref="N19">M19*L19</f>
        <v>50392.7457416232</v>
      </c>
    </row>
    <row r="20" ht="13.75" customHeight="1">
      <c r="A20" s="7">
        <v>45767</v>
      </c>
      <c r="B20" s="15"/>
      <c r="C20" s="9">
        <v>600</v>
      </c>
      <c r="D20" s="9"/>
      <c r="E20" s="10" cm="1">
        <f t="array" ref="E20">E19+C20-D20</f>
        <v>4420.99</v>
      </c>
      <c r="F20" s="11" cm="1">
        <f t="array" ref="F20">A21-A20</f>
        <v>13</v>
      </c>
      <c r="G20" s="10" cm="1">
        <f t="array" ref="G20">F20*E20</f>
        <v>57472.87</v>
      </c>
      <c r="H20" s="4"/>
      <c r="I20" s="12">
        <v>0.85755</v>
      </c>
      <c r="J20" s="10" cm="1">
        <f t="array" ref="J20">C20/I20</f>
        <v>699.6676578625149</v>
      </c>
      <c r="K20" s="10"/>
      <c r="L20" s="10" cm="1">
        <f t="array" ref="L20">L19+J20-K20</f>
        <v>5280.826361646450</v>
      </c>
      <c r="M20" s="11" cm="1">
        <f t="array" ref="M20">F20</f>
        <v>13</v>
      </c>
      <c r="N20" s="10" cm="1">
        <f t="array" ref="N20">M20*L20</f>
        <v>68650.7427014039</v>
      </c>
    </row>
    <row r="21" ht="13.55" customHeight="1">
      <c r="A21" s="7">
        <v>45780</v>
      </c>
      <c r="B21" s="13"/>
      <c r="C21" s="9">
        <v>10000</v>
      </c>
      <c r="D21" s="9"/>
      <c r="E21" s="10" cm="1">
        <f t="array" ref="E21">E20+C21-D21</f>
        <v>14420.99</v>
      </c>
      <c r="F21" s="14" cm="1">
        <f t="array" ref="F21">A22-A21</f>
        <v>0</v>
      </c>
      <c r="G21" s="10" cm="1">
        <f t="array" ref="G21">F21*E21</f>
        <v>0</v>
      </c>
      <c r="H21" s="4"/>
      <c r="I21" s="12">
        <v>0.855</v>
      </c>
      <c r="J21" s="10" cm="1">
        <f t="array" ref="J21">C21/I21</f>
        <v>11695.9064327485</v>
      </c>
      <c r="K21" s="10"/>
      <c r="L21" s="10" cm="1">
        <f t="array" ref="L21">L20+J21-K21</f>
        <v>16976.732794395</v>
      </c>
      <c r="M21" s="14" cm="1">
        <f t="array" ref="M21">F21</f>
        <v>0</v>
      </c>
      <c r="N21" s="10" cm="1">
        <f t="array" ref="N21">M21*L21</f>
        <v>0</v>
      </c>
    </row>
    <row r="22" ht="13.55" customHeight="1">
      <c r="A22" s="7">
        <v>45780</v>
      </c>
      <c r="B22" s="13"/>
      <c r="C22" s="9"/>
      <c r="D22" s="9">
        <v>11976</v>
      </c>
      <c r="E22" s="10" cm="1">
        <f t="array" ref="E22">E21+C22-D22</f>
        <v>2444.99</v>
      </c>
      <c r="F22" s="11" cm="1">
        <f t="array" ref="F22">A23-A22</f>
        <v>6</v>
      </c>
      <c r="G22" s="10" cm="1">
        <f t="array" ref="G22">F22*E22</f>
        <v>14669.94</v>
      </c>
      <c r="H22" s="4"/>
      <c r="I22" s="12" cm="1">
        <f t="array" ref="I22">I21</f>
        <v>0.855</v>
      </c>
      <c r="J22" s="10"/>
      <c r="K22" s="10" cm="1">
        <f t="array" ref="K22">D22/I22</f>
        <v>14007.0175438596</v>
      </c>
      <c r="L22" s="10" cm="1">
        <f t="array" ref="L22">L21+J22-K22</f>
        <v>2969.7152505354</v>
      </c>
      <c r="M22" s="11" cm="1">
        <f t="array" ref="M22">F22</f>
        <v>6</v>
      </c>
      <c r="N22" s="10" cm="1">
        <f t="array" ref="N22">M22*L22</f>
        <v>17818.2915032124</v>
      </c>
    </row>
    <row r="23" ht="13.55" customHeight="1">
      <c r="A23" s="7">
        <v>45786</v>
      </c>
      <c r="B23" s="13"/>
      <c r="C23" s="9">
        <v>1000</v>
      </c>
      <c r="D23" s="9"/>
      <c r="E23" s="10" cm="1">
        <f t="array" ref="E23">E22+C23-D23</f>
        <v>3444.99</v>
      </c>
      <c r="F23" s="11" cm="1">
        <f t="array" ref="F23">A24-A23</f>
        <v>11</v>
      </c>
      <c r="G23" s="10" cm="1">
        <f t="array" ref="G23">F23*E23</f>
        <v>37894.89</v>
      </c>
      <c r="H23" s="4"/>
      <c r="I23" s="12">
        <v>0.8532999999999999</v>
      </c>
      <c r="J23" s="10" cm="1">
        <f t="array" ref="J23">C23/I23</f>
        <v>1171.9207781554</v>
      </c>
      <c r="K23" s="10"/>
      <c r="L23" s="10" cm="1">
        <f t="array" ref="L23">L22+J23-K23</f>
        <v>4141.6360286908</v>
      </c>
      <c r="M23" s="11" cm="1">
        <f t="array" ref="M23">F23</f>
        <v>11</v>
      </c>
      <c r="N23" s="10" cm="1">
        <f t="array" ref="N23">M23*L23</f>
        <v>45557.9963155988</v>
      </c>
    </row>
    <row r="24" ht="13.75" customHeight="1">
      <c r="A24" s="7">
        <v>45797</v>
      </c>
      <c r="B24" s="15"/>
      <c r="C24" s="9">
        <v>600</v>
      </c>
      <c r="D24" s="9"/>
      <c r="E24" s="10" cm="1">
        <f t="array" ref="E24">E23+C24-D24</f>
        <v>4044.99</v>
      </c>
      <c r="F24" s="11" cm="1">
        <f t="array" ref="F24">A25-A24</f>
        <v>15</v>
      </c>
      <c r="G24" s="10" cm="1">
        <f t="array" ref="G24">F24*E24</f>
        <v>60674.85</v>
      </c>
      <c r="H24" s="4"/>
      <c r="I24" s="12">
        <v>0.8406</v>
      </c>
      <c r="J24" s="10" cm="1">
        <f t="array" ref="J24">C24/I24</f>
        <v>713.7758743754461</v>
      </c>
      <c r="K24" s="10"/>
      <c r="L24" s="10" cm="1">
        <f t="array" ref="L24">L23+J24-K24</f>
        <v>4855.411903066250</v>
      </c>
      <c r="M24" s="11" cm="1">
        <f t="array" ref="M24">F24</f>
        <v>15</v>
      </c>
      <c r="N24" s="10" cm="1">
        <f t="array" ref="N24">M24*L24</f>
        <v>72831.1785459938</v>
      </c>
    </row>
    <row r="25" ht="13.55" customHeight="1">
      <c r="A25" s="7">
        <v>45812</v>
      </c>
      <c r="B25" s="13"/>
      <c r="C25" s="9">
        <v>1000</v>
      </c>
      <c r="D25" s="9"/>
      <c r="E25" s="10" cm="1">
        <f t="array" ref="E25">E24+C25-D25</f>
        <v>5044.99</v>
      </c>
      <c r="F25" s="11" cm="1">
        <f t="array" ref="F25">A26-A25</f>
        <v>17</v>
      </c>
      <c r="G25" s="10" cm="1">
        <f t="array" ref="G25">F25*E25</f>
        <v>85764.83</v>
      </c>
      <c r="H25" s="4"/>
      <c r="I25" s="12">
        <v>0.8398</v>
      </c>
      <c r="J25" s="10" cm="1">
        <f t="array" ref="J25">C25/I25</f>
        <v>1190.759704691590</v>
      </c>
      <c r="K25" s="10"/>
      <c r="L25" s="10" cm="1">
        <f t="array" ref="L25">L24+J25-K25</f>
        <v>6046.171607757840</v>
      </c>
      <c r="M25" s="11" cm="1">
        <f t="array" ref="M25">F25</f>
        <v>17</v>
      </c>
      <c r="N25" s="10" cm="1">
        <f t="array" ref="N25">M25*L25</f>
        <v>102784.917331883</v>
      </c>
    </row>
    <row r="26" ht="13.75" customHeight="1">
      <c r="A26" s="7">
        <v>45829</v>
      </c>
      <c r="B26" s="15"/>
      <c r="C26" s="9">
        <v>600</v>
      </c>
      <c r="D26" s="9"/>
      <c r="E26" s="10" cm="1">
        <f t="array" ref="E26">E25+C26-D26</f>
        <v>5644.99</v>
      </c>
      <c r="F26" s="11" cm="1">
        <f t="array" ref="F26">A27-A26</f>
        <v>11</v>
      </c>
      <c r="G26" s="10" cm="1">
        <f t="array" ref="G26">F26*E26</f>
        <v>62094.89</v>
      </c>
      <c r="H26" s="4"/>
      <c r="I26" s="12">
        <v>0.8505</v>
      </c>
      <c r="J26" s="10" cm="1">
        <f t="array" ref="J26">C26/I26</f>
        <v>705.467372134039</v>
      </c>
      <c r="K26" s="10"/>
      <c r="L26" s="10" cm="1">
        <f t="array" ref="L26">L25+J26-K26</f>
        <v>6751.638979891880</v>
      </c>
      <c r="M26" s="11" cm="1">
        <f t="array" ref="M26">F26</f>
        <v>11</v>
      </c>
      <c r="N26" s="10" cm="1">
        <f t="array" ref="N26">M26*L26</f>
        <v>74268.028778810694</v>
      </c>
    </row>
    <row r="27" ht="13.55" customHeight="1">
      <c r="A27" s="7">
        <v>45840</v>
      </c>
      <c r="B27" s="13"/>
      <c r="C27" s="9"/>
      <c r="D27" s="9">
        <v>3000</v>
      </c>
      <c r="E27" s="10" cm="1">
        <f t="array" ref="E27">E26+C27-D27</f>
        <v>2644.99</v>
      </c>
      <c r="F27" s="14" cm="1">
        <f t="array" ref="F27">A28-A27</f>
        <v>0</v>
      </c>
      <c r="G27" s="10" cm="1">
        <f t="array" ref="G27">F27*E27</f>
        <v>0</v>
      </c>
      <c r="H27" s="4"/>
      <c r="I27" s="12">
        <v>0.8526</v>
      </c>
      <c r="J27" s="10"/>
      <c r="K27" s="10" cm="1">
        <f t="array" ref="K27">D27/I27</f>
        <v>3518.648838845880</v>
      </c>
      <c r="L27" s="10" cm="1">
        <f t="array" ref="L27">L26+J27-K27</f>
        <v>3232.990141046</v>
      </c>
      <c r="M27" s="14" cm="1">
        <f t="array" ref="M27">F27</f>
        <v>0</v>
      </c>
      <c r="N27" s="10" cm="1">
        <f t="array" ref="N27">M27*L27</f>
        <v>0</v>
      </c>
    </row>
    <row r="28" ht="13.55" customHeight="1">
      <c r="A28" s="7">
        <v>45840</v>
      </c>
      <c r="B28" s="13"/>
      <c r="C28" s="9"/>
      <c r="D28" s="9">
        <v>1480</v>
      </c>
      <c r="E28" s="10" cm="1">
        <f t="array" ref="E28">E27+C28-D28</f>
        <v>1164.99</v>
      </c>
      <c r="F28" s="11" cm="1">
        <f t="array" ref="F28">A29-A28</f>
        <v>21</v>
      </c>
      <c r="G28" s="10" cm="1">
        <f t="array" ref="G28">F28*E28</f>
        <v>24464.79</v>
      </c>
      <c r="H28" s="17"/>
      <c r="I28" s="12" cm="1">
        <f t="array" ref="I28">I27</f>
        <v>0.8526</v>
      </c>
      <c r="J28" s="10"/>
      <c r="K28" s="10" cm="1">
        <f t="array" ref="K28">D28/I28</f>
        <v>1735.8667604973</v>
      </c>
      <c r="L28" s="10" cm="1">
        <f t="array" ref="L28">L27+J28-K28</f>
        <v>1497.1233805487</v>
      </c>
      <c r="M28" s="11" cm="1">
        <f t="array" ref="M28">F28</f>
        <v>21</v>
      </c>
      <c r="N28" s="10" cm="1">
        <f t="array" ref="N28">M28*L28</f>
        <v>31439.5909915227</v>
      </c>
    </row>
    <row r="29" ht="13.75" customHeight="1">
      <c r="A29" s="7">
        <v>45861</v>
      </c>
      <c r="B29" s="15"/>
      <c r="C29" s="9">
        <v>600</v>
      </c>
      <c r="D29" s="9"/>
      <c r="E29" s="10" cm="1">
        <f t="array" ref="E29">E28+C29-D29</f>
        <v>1764.99</v>
      </c>
      <c r="F29" s="11" cm="1">
        <f t="array" ref="F29">A30-A29</f>
        <v>2</v>
      </c>
      <c r="G29" s="10" cm="1">
        <f t="array" ref="G29">F29*E29</f>
        <v>3529.98</v>
      </c>
      <c r="H29" s="9"/>
      <c r="I29" s="12">
        <v>0.8659</v>
      </c>
      <c r="J29" s="9" cm="1">
        <f t="array" ref="J29">C29/I29</f>
        <v>692.920660584363</v>
      </c>
      <c r="K29" s="10"/>
      <c r="L29" s="10" cm="1">
        <f t="array" ref="L29">L28+J29-K29</f>
        <v>2190.044041133060</v>
      </c>
      <c r="M29" s="11" cm="1">
        <f t="array" ref="M29">F29</f>
        <v>2</v>
      </c>
      <c r="N29" s="10" cm="1">
        <f t="array" ref="N29">M29*L29</f>
        <v>4380.088082266120</v>
      </c>
    </row>
    <row r="30" ht="13.55" customHeight="1">
      <c r="A30" s="7">
        <v>45863</v>
      </c>
      <c r="B30" s="13"/>
      <c r="C30" s="9">
        <v>4000</v>
      </c>
      <c r="D30" s="9"/>
      <c r="E30" s="10" cm="1">
        <f t="array" ref="E30">E29+C30-D30</f>
        <v>5764.99</v>
      </c>
      <c r="F30" s="14" cm="1">
        <f t="array" ref="F30">A31-A30</f>
        <v>0</v>
      </c>
      <c r="G30" s="10" cm="1">
        <f t="array" ref="G30">F30*E30</f>
        <v>0</v>
      </c>
      <c r="H30" s="9"/>
      <c r="I30" s="12">
        <v>0.8656</v>
      </c>
      <c r="J30" s="9" cm="1">
        <f t="array" ref="J30">C30/I30</f>
        <v>4621.072088724580</v>
      </c>
      <c r="K30" s="10"/>
      <c r="L30" s="10" cm="1">
        <f t="array" ref="L30">L29+J30-K30</f>
        <v>6811.116129857640</v>
      </c>
      <c r="M30" s="14" cm="1">
        <f t="array" ref="M30">F30</f>
        <v>0</v>
      </c>
      <c r="N30" s="10" cm="1">
        <f t="array" ref="N30">M30*L30</f>
        <v>0</v>
      </c>
    </row>
    <row r="31" ht="13.55" customHeight="1">
      <c r="A31" s="7">
        <v>45863</v>
      </c>
      <c r="B31" s="13"/>
      <c r="C31" s="9"/>
      <c r="D31" s="9">
        <v>4941.4</v>
      </c>
      <c r="E31" s="10" cm="1">
        <f t="array" ref="E31">E30+C31-D31</f>
        <v>823.59</v>
      </c>
      <c r="F31" s="11" cm="1">
        <f t="array" ref="F31">A32-A31</f>
        <v>13</v>
      </c>
      <c r="G31" s="10" cm="1">
        <f t="array" ref="G31">F31*E31</f>
        <v>10706.67</v>
      </c>
      <c r="H31" s="9"/>
      <c r="I31" s="12" cm="1">
        <f t="array" ref="I31">I30</f>
        <v>0.8656</v>
      </c>
      <c r="J31" s="9"/>
      <c r="K31" s="10" cm="1">
        <f t="array" ref="K31">D31/I31</f>
        <v>5708.641404805910</v>
      </c>
      <c r="L31" s="10" cm="1">
        <f t="array" ref="L31">L30+J31-K31</f>
        <v>1102.474725051730</v>
      </c>
      <c r="M31" s="11" cm="1">
        <f t="array" ref="M31">F31</f>
        <v>13</v>
      </c>
      <c r="N31" s="10" cm="1">
        <f t="array" ref="N31">M31*L31</f>
        <v>14332.1714256725</v>
      </c>
    </row>
    <row r="32" ht="13.55" customHeight="1">
      <c r="A32" s="7">
        <v>45876</v>
      </c>
      <c r="B32" s="13"/>
      <c r="C32" s="9">
        <v>1000</v>
      </c>
      <c r="D32" s="9"/>
      <c r="E32" s="10" cm="1">
        <f t="array" ref="E32">E31+C32-D32</f>
        <v>1823.59</v>
      </c>
      <c r="F32" s="11" cm="1">
        <f t="array" ref="F32">A33-A32</f>
        <v>12</v>
      </c>
      <c r="G32" s="10" cm="1">
        <f t="array" ref="G32">F32*E32</f>
        <v>21883.08</v>
      </c>
      <c r="H32" s="9"/>
      <c r="I32" s="12">
        <v>0.8649</v>
      </c>
      <c r="J32" s="9" cm="1">
        <f t="array" ref="J32">C32/I32</f>
        <v>1156.203029251940</v>
      </c>
      <c r="K32" s="10"/>
      <c r="L32" s="10" cm="1">
        <f t="array" ref="L32">L31+J32-K32</f>
        <v>2258.677754303670</v>
      </c>
      <c r="M32" s="11" cm="1">
        <f t="array" ref="M32">F32</f>
        <v>12</v>
      </c>
      <c r="N32" s="10" cm="1">
        <f t="array" ref="N32">M32*L32</f>
        <v>27104.133051644</v>
      </c>
    </row>
    <row r="33" ht="13.55" customHeight="1">
      <c r="A33" s="7">
        <v>45888</v>
      </c>
      <c r="B33" s="13"/>
      <c r="C33" s="9"/>
      <c r="D33" s="9">
        <v>180</v>
      </c>
      <c r="E33" s="10" cm="1">
        <f t="array" ref="E33">E32+C33-D33</f>
        <v>1643.59</v>
      </c>
      <c r="F33" s="11" cm="1">
        <f t="array" ref="F33">A34-A33</f>
        <v>1</v>
      </c>
      <c r="G33" s="10" cm="1">
        <f t="array" ref="G33">F33*E33</f>
        <v>1643.59</v>
      </c>
      <c r="H33" s="9"/>
      <c r="I33" s="12">
        <v>0.8621</v>
      </c>
      <c r="J33" s="9"/>
      <c r="K33" s="10" cm="1">
        <f t="array" ref="K33">D33/I33</f>
        <v>208.792483470595</v>
      </c>
      <c r="L33" s="10" cm="1">
        <f t="array" ref="L33">L32+J33-K33</f>
        <v>2049.885270833080</v>
      </c>
      <c r="M33" s="11" cm="1">
        <f t="array" ref="M33">F33</f>
        <v>1</v>
      </c>
      <c r="N33" s="10" cm="1">
        <f t="array" ref="N33">M33*L33</f>
        <v>2049.885270833080</v>
      </c>
    </row>
    <row r="34" ht="13.75" customHeight="1">
      <c r="A34" s="7">
        <v>45889</v>
      </c>
      <c r="B34" s="15"/>
      <c r="C34" s="9">
        <v>600</v>
      </c>
      <c r="D34" s="9"/>
      <c r="E34" s="10" cm="1">
        <f t="array" ref="E34">E33+C34-D34</f>
        <v>2243.59</v>
      </c>
      <c r="F34" s="11" cm="1">
        <f t="array" ref="F34">A35-A34</f>
        <v>16</v>
      </c>
      <c r="G34" s="10" cm="1">
        <f t="array" ref="G34">F34*E34</f>
        <v>35897.44</v>
      </c>
      <c r="H34" s="9"/>
      <c r="I34" s="12">
        <v>0.8631</v>
      </c>
      <c r="J34" s="9" cm="1">
        <f t="array" ref="J34">C34/I34</f>
        <v>695.168578380257</v>
      </c>
      <c r="K34" s="10"/>
      <c r="L34" s="10" cm="1">
        <f t="array" ref="L34">L33+J34-K34</f>
        <v>2745.053849213340</v>
      </c>
      <c r="M34" s="11" cm="1">
        <f t="array" ref="M34">F34</f>
        <v>16</v>
      </c>
      <c r="N34" s="10" cm="1">
        <f t="array" ref="N34">M34*L34</f>
        <v>43920.8615874134</v>
      </c>
    </row>
    <row r="35" ht="13.55" customHeight="1">
      <c r="A35" s="7">
        <v>45905</v>
      </c>
      <c r="B35" s="13"/>
      <c r="C35" s="9">
        <v>1000</v>
      </c>
      <c r="D35" s="9"/>
      <c r="E35" s="10" cm="1">
        <f t="array" ref="E35">E34+C35-D35</f>
        <v>3243.59</v>
      </c>
      <c r="F35" s="11" cm="1">
        <f t="array" ref="F35">A36-A35</f>
        <v>15</v>
      </c>
      <c r="G35" s="10" cm="1">
        <f t="array" ref="G35">F35*E35</f>
        <v>48653.85</v>
      </c>
      <c r="H35" s="9"/>
      <c r="I35" s="12">
        <v>0.8668</v>
      </c>
      <c r="J35" s="9" cm="1">
        <f t="array" ref="J35">C35/I35</f>
        <v>1153.668666359020</v>
      </c>
      <c r="K35" s="10"/>
      <c r="L35" s="10" cm="1">
        <f t="array" ref="L35">L34+J35-K35</f>
        <v>3898.722515572360</v>
      </c>
      <c r="M35" s="11" cm="1">
        <f t="array" ref="M35">F35</f>
        <v>15</v>
      </c>
      <c r="N35" s="10" cm="1">
        <f t="array" ref="N35">M35*L35</f>
        <v>58480.8377335854</v>
      </c>
    </row>
    <row r="36" ht="13.75" customHeight="1">
      <c r="A36" s="7">
        <v>45920</v>
      </c>
      <c r="B36" s="15"/>
      <c r="C36" s="9">
        <v>600</v>
      </c>
      <c r="D36" s="9"/>
      <c r="E36" s="10" cm="1">
        <f t="array" ref="E36">E35+C36-D36</f>
        <v>3843.59</v>
      </c>
      <c r="F36" s="11" cm="1">
        <f t="array" ref="F36">A37-A36</f>
        <v>7</v>
      </c>
      <c r="G36" s="10" cm="1">
        <f t="array" ref="G36">F36*E36</f>
        <v>26905.13</v>
      </c>
      <c r="H36" s="9"/>
      <c r="I36" s="12">
        <v>0.8653</v>
      </c>
      <c r="J36" s="9" cm="1">
        <f t="array" ref="J36">C36/I36</f>
        <v>693.401132555183</v>
      </c>
      <c r="K36" s="10"/>
      <c r="L36" s="10" cm="1">
        <f t="array" ref="L36">L35+J36-K36</f>
        <v>4592.123648127540</v>
      </c>
      <c r="M36" s="11" cm="1">
        <f t="array" ref="M36">F36</f>
        <v>7</v>
      </c>
      <c r="N36" s="10" cm="1">
        <f t="array" ref="N36">M36*L36</f>
        <v>32144.8655368928</v>
      </c>
    </row>
    <row r="37" ht="13.55" customHeight="1">
      <c r="A37" s="7">
        <v>45927</v>
      </c>
      <c r="B37" s="13"/>
      <c r="C37" s="9"/>
      <c r="D37" s="9">
        <v>2000</v>
      </c>
      <c r="E37" s="10" cm="1">
        <f t="array" ref="E37">E36+C37-D37</f>
        <v>1843.59</v>
      </c>
      <c r="F37" s="11" cm="1">
        <f t="array" ref="F37">A38-A37</f>
        <v>13</v>
      </c>
      <c r="G37" s="10" cm="1">
        <f t="array" ref="G37">F37*E37</f>
        <v>23966.67</v>
      </c>
      <c r="H37" s="9"/>
      <c r="I37" s="12">
        <v>0.8708</v>
      </c>
      <c r="J37" s="9"/>
      <c r="K37" s="10" cm="1">
        <f t="array" ref="K37">D37/I37</f>
        <v>2296.738631143780</v>
      </c>
      <c r="L37" s="10" cm="1">
        <f t="array" ref="L37">L36+J37-K37</f>
        <v>2295.385016983760</v>
      </c>
      <c r="M37" s="11" cm="1">
        <f t="array" ref="M37">F37</f>
        <v>13</v>
      </c>
      <c r="N37" s="10" cm="1">
        <f t="array" ref="N37">M37*L37</f>
        <v>29840.0052207889</v>
      </c>
    </row>
    <row r="38" ht="13.55" customHeight="1">
      <c r="A38" s="7">
        <v>45940</v>
      </c>
      <c r="B38" s="13"/>
      <c r="C38" s="9">
        <v>1000</v>
      </c>
      <c r="D38" s="9"/>
      <c r="E38" s="10" cm="1">
        <f t="array" ref="E38">E37+C38-D38</f>
        <v>2843.59</v>
      </c>
      <c r="F38" s="11" cm="1">
        <f t="array" ref="F38">A39-A38</f>
        <v>9</v>
      </c>
      <c r="G38" s="10" cm="1">
        <f t="array" ref="G38">F38*E38</f>
        <v>25592.31</v>
      </c>
      <c r="H38" s="9"/>
      <c r="I38" s="12">
        <v>0.8726</v>
      </c>
      <c r="J38" s="9" cm="1">
        <f t="array" ref="J38">C38/I38</f>
        <v>1146.000458400180</v>
      </c>
      <c r="K38" s="10"/>
      <c r="L38" s="10" cm="1">
        <f t="array" ref="L38">L37+J38-K38</f>
        <v>3441.385475383940</v>
      </c>
      <c r="M38" s="11" cm="1">
        <f t="array" ref="M38">F38</f>
        <v>9</v>
      </c>
      <c r="N38" s="10" cm="1">
        <f t="array" ref="N38">M38*L38</f>
        <v>30972.4692784555</v>
      </c>
    </row>
    <row r="39" ht="13.75" customHeight="1">
      <c r="A39" s="7">
        <v>45949</v>
      </c>
      <c r="B39" s="15"/>
      <c r="C39" s="9">
        <v>600</v>
      </c>
      <c r="D39" s="9"/>
      <c r="E39" s="10" cm="1">
        <f t="array" ref="E39">E38+C39-D39</f>
        <v>3443.59</v>
      </c>
      <c r="F39" s="11" cm="1">
        <f t="array" ref="F39">A40-A39</f>
        <v>16</v>
      </c>
      <c r="G39" s="10" cm="1">
        <f t="array" ref="G39">F39*E39</f>
        <v>55097.44</v>
      </c>
      <c r="H39" s="9"/>
      <c r="I39" s="12">
        <v>0.8709</v>
      </c>
      <c r="J39" s="9" cm="1">
        <f t="array" ref="J39">C39/I39</f>
        <v>688.942473303479</v>
      </c>
      <c r="K39" s="10"/>
      <c r="L39" s="10" cm="1">
        <f t="array" ref="L39">L38+J39-K39</f>
        <v>4130.327948687420</v>
      </c>
      <c r="M39" s="11" cm="1">
        <f t="array" ref="M39">F39</f>
        <v>16</v>
      </c>
      <c r="N39" s="10" cm="1">
        <f t="array" ref="N39">M39*L39</f>
        <v>66085.2471789987</v>
      </c>
    </row>
    <row r="40" ht="13.55" customHeight="1">
      <c r="A40" s="7">
        <v>45965</v>
      </c>
      <c r="B40" s="13"/>
      <c r="C40" s="9">
        <v>1000</v>
      </c>
      <c r="D40" s="9"/>
      <c r="E40" s="10" cm="1">
        <f t="array" ref="E40">E39+C40-D40</f>
        <v>4443.59</v>
      </c>
      <c r="F40" s="11" cm="1">
        <f t="array" ref="F40">A41-A40</f>
        <v>12</v>
      </c>
      <c r="G40" s="10" cm="1">
        <f t="array" ref="G40">F40*E40</f>
        <v>53323.08</v>
      </c>
      <c r="H40" s="9"/>
      <c r="I40" s="12">
        <v>0.876</v>
      </c>
      <c r="J40" s="9" cm="1">
        <f t="array" ref="J40">C40/I40</f>
        <v>1141.552511415530</v>
      </c>
      <c r="K40" s="10"/>
      <c r="L40" s="10" cm="1">
        <f t="array" ref="L40">L39+J40-K40</f>
        <v>5271.880460102950</v>
      </c>
      <c r="M40" s="11" cm="1">
        <f t="array" ref="M40">F40</f>
        <v>12</v>
      </c>
      <c r="N40" s="10" cm="1">
        <f t="array" ref="N40">M40*L40</f>
        <v>63262.5655212354</v>
      </c>
    </row>
    <row r="41" ht="13.55" customHeight="1">
      <c r="A41" s="7">
        <v>45977</v>
      </c>
      <c r="B41" s="13"/>
      <c r="C41" s="9"/>
      <c r="D41" s="9">
        <v>2000</v>
      </c>
      <c r="E41" s="10" cm="1">
        <f t="array" ref="E41">E40+C41-D41</f>
        <v>2443.59</v>
      </c>
      <c r="F41" s="11" cm="1">
        <f t="array" ref="F41">A42-A41</f>
        <v>10</v>
      </c>
      <c r="G41" s="10" cm="1">
        <f t="array" ref="G41">F41*E41</f>
        <v>24435.9</v>
      </c>
      <c r="H41" s="9"/>
      <c r="I41" s="12">
        <v>0.8811</v>
      </c>
      <c r="J41" s="9"/>
      <c r="K41" s="10" cm="1">
        <f t="array" ref="K41">D41/I41</f>
        <v>2269.889910339350</v>
      </c>
      <c r="L41" s="10" cm="1">
        <f t="array" ref="L41">L40+J41-K41</f>
        <v>3001.9905497636</v>
      </c>
      <c r="M41" s="11" cm="1">
        <f t="array" ref="M41">F41</f>
        <v>10</v>
      </c>
      <c r="N41" s="10" cm="1">
        <f t="array" ref="N41">M41*L41</f>
        <v>30019.905497636</v>
      </c>
    </row>
    <row r="42" ht="13.75" customHeight="1">
      <c r="A42" s="7">
        <v>45987</v>
      </c>
      <c r="B42" s="15"/>
      <c r="C42" s="9">
        <v>600</v>
      </c>
      <c r="D42" s="9"/>
      <c r="E42" s="10" cm="1">
        <f t="array" ref="E42">E41+C42-D42</f>
        <v>3043.59</v>
      </c>
      <c r="F42" s="11" cm="1">
        <f t="array" ref="F42">A43-A42</f>
        <v>6</v>
      </c>
      <c r="G42" s="10" cm="1">
        <f t="array" ref="G42">F42*E42</f>
        <v>18261.54</v>
      </c>
      <c r="H42" s="9"/>
      <c r="I42" s="12">
        <v>0.8827</v>
      </c>
      <c r="J42" s="9" cm="1">
        <f t="array" ref="J42">C42/I42</f>
        <v>679.732638495525</v>
      </c>
      <c r="K42" s="10"/>
      <c r="L42" s="10" cm="1">
        <f t="array" ref="L42">L41+J42-K42</f>
        <v>3681.723188259130</v>
      </c>
      <c r="M42" s="11" cm="1">
        <f t="array" ref="M42">F42</f>
        <v>6</v>
      </c>
      <c r="N42" s="10" cm="1">
        <f t="array" ref="N42">M42*L42</f>
        <v>22090.3391295548</v>
      </c>
    </row>
    <row r="43" ht="13.55" customHeight="1">
      <c r="A43" s="7">
        <v>45993</v>
      </c>
      <c r="B43" s="13"/>
      <c r="C43" s="9"/>
      <c r="D43" s="9">
        <v>1768.3</v>
      </c>
      <c r="E43" s="10" cm="1">
        <f t="array" ref="E43">E42+C43-D43</f>
        <v>1275.29</v>
      </c>
      <c r="F43" s="11" cm="1">
        <f t="array" ref="F43">A44-A43</f>
        <v>2</v>
      </c>
      <c r="G43" s="10" cm="1">
        <f t="array" ref="G43">F43*E43</f>
        <v>2550.58</v>
      </c>
      <c r="H43" s="9"/>
      <c r="I43" s="12">
        <v>0.8788</v>
      </c>
      <c r="J43" s="9"/>
      <c r="K43" s="10" cm="1">
        <f t="array" ref="K43">D43/I43</f>
        <v>2012.175694128360</v>
      </c>
      <c r="L43" s="10" cm="1">
        <f t="array" ref="L43">L42+J43-K43</f>
        <v>1669.547494130770</v>
      </c>
      <c r="M43" s="11" cm="1">
        <f t="array" ref="M43">F43</f>
        <v>2</v>
      </c>
      <c r="N43" s="10" cm="1">
        <f t="array" ref="N43">M43*L43</f>
        <v>3339.094988261540</v>
      </c>
    </row>
    <row r="44" ht="13.55" customHeight="1">
      <c r="A44" s="7">
        <v>45995</v>
      </c>
      <c r="B44" s="13"/>
      <c r="C44" s="9">
        <v>1000</v>
      </c>
      <c r="D44" s="9"/>
      <c r="E44" s="10" cm="1">
        <f t="array" ref="E44">E43+C44-D44</f>
        <v>2275.29</v>
      </c>
      <c r="F44" s="11" cm="1">
        <f t="array" ref="F44">A45-A44</f>
        <v>16</v>
      </c>
      <c r="G44" s="10" cm="1">
        <f t="array" ref="G44">F44*E44</f>
        <v>36404.64</v>
      </c>
      <c r="H44" s="9"/>
      <c r="I44" s="12">
        <v>0.8754</v>
      </c>
      <c r="J44" s="9" cm="1">
        <f t="array" ref="J44">C44/I44</f>
        <v>1142.334932602240</v>
      </c>
      <c r="K44" s="10"/>
      <c r="L44" s="10" cm="1">
        <f t="array" ref="L44">L43+J44-K44</f>
        <v>2811.882426733010</v>
      </c>
      <c r="M44" s="11" cm="1">
        <f t="array" ref="M44">F44</f>
        <v>16</v>
      </c>
      <c r="N44" s="10" cm="1">
        <f t="array" ref="N44">M44*L44</f>
        <v>44990.1188277282</v>
      </c>
    </row>
    <row r="45" ht="13.75" customHeight="1">
      <c r="A45" s="7">
        <v>46011</v>
      </c>
      <c r="B45" s="15"/>
      <c r="C45" s="9">
        <v>600</v>
      </c>
      <c r="D45" s="9"/>
      <c r="E45" s="10" cm="1">
        <f t="array" ref="E45">E44+C45-D45</f>
        <v>2875.29</v>
      </c>
      <c r="F45" s="18">
        <v>0</v>
      </c>
      <c r="G45" s="10" cm="1">
        <f t="array" ref="G45">F45*E45</f>
        <v>0</v>
      </c>
      <c r="H45" s="9"/>
      <c r="I45" s="12">
        <v>0.8767</v>
      </c>
      <c r="J45" s="9" cm="1">
        <f t="array" ref="J45">C45/I45</f>
        <v>684.384624158777</v>
      </c>
      <c r="K45" s="10"/>
      <c r="L45" s="10" cm="1">
        <f t="array" ref="L45">L44+J45-K45</f>
        <v>3496.267050891790</v>
      </c>
      <c r="M45" s="18" cm="1">
        <f t="array" ref="M45">F45</f>
        <v>0</v>
      </c>
      <c r="N45" s="10" cm="1">
        <f t="array" ref="N45">M45*L45</f>
        <v>0</v>
      </c>
    </row>
  </sheetData>
  <mergeCells count="1">
    <mergeCell ref="J1:K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