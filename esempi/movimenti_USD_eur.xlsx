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Cambi" sheetId="2" state="visible" r:id="rId2"/>
    <sheet xmlns:r="http://schemas.openxmlformats.org/officeDocument/2006/relationships" name="Medie mensi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data</t>
        </is>
      </c>
      <c r="B1" s="1" t="inlineStr">
        <is>
          <t>causale</t>
        </is>
      </c>
      <c r="C1" s="1" t="inlineStr">
        <is>
          <t>entrate (USD)</t>
        </is>
      </c>
      <c r="D1" s="1" t="inlineStr">
        <is>
          <t>uscite (USD)</t>
        </is>
      </c>
      <c r="E1" s="1" t="inlineStr">
        <is>
          <t>saldo (USD)</t>
        </is>
      </c>
      <c r="F1" s="1" t="inlineStr">
        <is>
          <t>cambio</t>
        </is>
      </c>
      <c r="G1" s="1" t="inlineStr">
        <is>
          <t>data cambio usata</t>
        </is>
      </c>
      <c r="H1" s="1" t="inlineStr">
        <is>
          <t>entrate (EUR)</t>
        </is>
      </c>
      <c r="I1" s="1" t="inlineStr">
        <is>
          <t>uscite (EUR)</t>
        </is>
      </c>
      <c r="J1" s="1" t="inlineStr">
        <is>
          <t>saldo (EUR)</t>
        </is>
      </c>
      <c r="K1" s="1" t="inlineStr">
        <is>
          <t>gg</t>
        </is>
      </c>
      <c r="L1" s="1" t="inlineStr">
        <is>
          <t>saldo x gg (EUR)</t>
        </is>
      </c>
    </row>
    <row r="2">
      <c r="A2" s="2" t="n">
        <v>45657</v>
      </c>
      <c r="B2" t="inlineStr">
        <is>
          <t>saldo 1.1.2025</t>
        </is>
      </c>
      <c r="C2" t="n">
        <v>1605.36</v>
      </c>
      <c r="E2">
        <f>N(C2)-N(D2)</f>
        <v/>
      </c>
      <c r="F2">
        <f>'Medie mensili'!C2</f>
        <v/>
      </c>
      <c r="G2" s="2" t="inlineStr">
        <is>
          <t>media mensile</t>
        </is>
      </c>
      <c r="H2">
        <f>IF(C2="","",C2/F2)</f>
        <v/>
      </c>
      <c r="I2">
        <f>IF(D2="","",D2/F2)</f>
        <v/>
      </c>
      <c r="J2">
        <f>N(H2)-N(I2)</f>
        <v/>
      </c>
      <c r="K2">
        <f>A3-A2</f>
        <v/>
      </c>
      <c r="L2">
        <f>K2*J2</f>
        <v/>
      </c>
    </row>
    <row r="3">
      <c r="A3" s="2" t="n">
        <v>45666</v>
      </c>
      <c r="B3" t="inlineStr"/>
      <c r="C3" t="n">
        <v>1000</v>
      </c>
      <c r="E3">
        <f>E2+N(C3)-N(D3)</f>
        <v/>
      </c>
      <c r="F3">
        <f>LOOKUP(A3,Cambi!$A$2:$A$255,Cambi!$B$2:$B$255)</f>
        <v/>
      </c>
      <c r="G3" s="2">
        <f>LOOKUP(A3,Cambi!$A$2:$A$255,Cambi!$A$2:$A$255)</f>
        <v/>
      </c>
      <c r="H3">
        <f>IF(C3="","",C3/F3)</f>
        <v/>
      </c>
      <c r="I3">
        <f>IF(D3="","",D3/F3)</f>
        <v/>
      </c>
      <c r="J3">
        <f>J2+N(H3)-N(I3)</f>
        <v/>
      </c>
      <c r="K3">
        <f>A4-A3</f>
        <v/>
      </c>
      <c r="L3">
        <f>K3*J3</f>
        <v/>
      </c>
    </row>
    <row r="4">
      <c r="A4" s="2" t="n">
        <v>45666</v>
      </c>
      <c r="B4" t="inlineStr"/>
      <c r="C4" t="n">
        <v>2500</v>
      </c>
      <c r="E4">
        <f>E3+N(C4)-N(D4)</f>
        <v/>
      </c>
      <c r="F4">
        <f>LOOKUP(A4,Cambi!$A$2:$A$255,Cambi!$B$2:$B$255)</f>
        <v/>
      </c>
      <c r="G4" s="2">
        <f>LOOKUP(A4,Cambi!$A$2:$A$255,Cambi!$A$2:$A$255)</f>
        <v/>
      </c>
      <c r="H4">
        <f>IF(C4="","",C4/F4)</f>
        <v/>
      </c>
      <c r="I4">
        <f>IF(D4="","",D4/F4)</f>
        <v/>
      </c>
      <c r="J4">
        <f>J3+N(H4)-N(I4)</f>
        <v/>
      </c>
      <c r="K4">
        <f>A5-A4</f>
        <v/>
      </c>
      <c r="L4">
        <f>K4*J4</f>
        <v/>
      </c>
    </row>
    <row r="5">
      <c r="A5" s="2" t="n">
        <v>45670</v>
      </c>
      <c r="B5" t="inlineStr"/>
      <c r="D5" t="n">
        <v>3000</v>
      </c>
      <c r="E5">
        <f>E4+N(C5)-N(D5)</f>
        <v/>
      </c>
      <c r="F5">
        <f>LOOKUP(A5,Cambi!$A$2:$A$255,Cambi!$B$2:$B$255)</f>
        <v/>
      </c>
      <c r="G5" s="2">
        <f>LOOKUP(A5,Cambi!$A$2:$A$255,Cambi!$A$2:$A$255)</f>
        <v/>
      </c>
      <c r="H5">
        <f>IF(C5="","",C5/F5)</f>
        <v/>
      </c>
      <c r="I5">
        <f>IF(D5="","",D5/F5)</f>
        <v/>
      </c>
      <c r="J5">
        <f>J4+N(H5)-N(I5)</f>
        <v/>
      </c>
      <c r="K5">
        <f>A6-A5</f>
        <v/>
      </c>
      <c r="L5">
        <f>K5*J5</f>
        <v/>
      </c>
    </row>
    <row r="6">
      <c r="A6" s="2" t="n">
        <v>45677</v>
      </c>
      <c r="B6" t="inlineStr"/>
      <c r="C6" t="n">
        <v>600</v>
      </c>
      <c r="E6">
        <f>E5+N(C6)-N(D6)</f>
        <v/>
      </c>
      <c r="F6">
        <f>LOOKUP(A6,Cambi!$A$2:$A$255,Cambi!$B$2:$B$255)</f>
        <v/>
      </c>
      <c r="G6" s="2">
        <f>LOOKUP(A6,Cambi!$A$2:$A$255,Cambi!$A$2:$A$255)</f>
        <v/>
      </c>
      <c r="H6">
        <f>IF(C6="","",C6/F6)</f>
        <v/>
      </c>
      <c r="I6">
        <f>IF(D6="","",D6/F6)</f>
        <v/>
      </c>
      <c r="J6">
        <f>J5+N(H6)-N(I6)</f>
        <v/>
      </c>
      <c r="K6">
        <f>A7-A6</f>
        <v/>
      </c>
      <c r="L6">
        <f>K6*J6</f>
        <v/>
      </c>
    </row>
    <row r="7">
      <c r="A7" s="2" t="n">
        <v>45681</v>
      </c>
      <c r="B7" t="inlineStr"/>
      <c r="C7" t="n">
        <v>14824.2</v>
      </c>
      <c r="E7">
        <f>E6+N(C7)-N(D7)</f>
        <v/>
      </c>
      <c r="F7">
        <f>LOOKUP(A7,Cambi!$A$2:$A$255,Cambi!$B$2:$B$255)</f>
        <v/>
      </c>
      <c r="G7" s="2">
        <f>LOOKUP(A7,Cambi!$A$2:$A$255,Cambi!$A$2:$A$255)</f>
        <v/>
      </c>
      <c r="H7">
        <f>IF(C7="","",C7/F7)</f>
        <v/>
      </c>
      <c r="I7">
        <f>IF(D7="","",D7/F7)</f>
        <v/>
      </c>
      <c r="J7">
        <f>J6+N(H7)-N(I7)</f>
        <v/>
      </c>
      <c r="K7">
        <f>A8-A7</f>
        <v/>
      </c>
      <c r="L7">
        <f>K7*J7</f>
        <v/>
      </c>
    </row>
    <row r="8">
      <c r="A8" s="2" t="n">
        <v>45681</v>
      </c>
      <c r="B8" t="inlineStr"/>
      <c r="D8" t="n">
        <v>14824.2</v>
      </c>
      <c r="E8">
        <f>E7+N(C8)-N(D8)</f>
        <v/>
      </c>
      <c r="F8">
        <f>LOOKUP(A8,Cambi!$A$2:$A$255,Cambi!$B$2:$B$255)</f>
        <v/>
      </c>
      <c r="G8" s="2">
        <f>LOOKUP(A8,Cambi!$A$2:$A$255,Cambi!$A$2:$A$255)</f>
        <v/>
      </c>
      <c r="H8">
        <f>IF(C8="","",C8/F8)</f>
        <v/>
      </c>
      <c r="I8">
        <f>IF(D8="","",D8/F8)</f>
        <v/>
      </c>
      <c r="J8">
        <f>J7+N(H8)-N(I8)</f>
        <v/>
      </c>
      <c r="K8">
        <f>A9-A8</f>
        <v/>
      </c>
      <c r="L8">
        <f>K8*J8</f>
        <v/>
      </c>
    </row>
    <row r="9">
      <c r="A9" s="2" t="n">
        <v>45691</v>
      </c>
      <c r="B9" t="inlineStr"/>
      <c r="D9" t="n">
        <v>1276</v>
      </c>
      <c r="E9">
        <f>E8+N(C9)-N(D9)</f>
        <v/>
      </c>
      <c r="F9">
        <f>LOOKUP(A9,Cambi!$A$2:$A$255,Cambi!$B$2:$B$255)</f>
        <v/>
      </c>
      <c r="G9" s="2">
        <f>LOOKUP(A9,Cambi!$A$2:$A$255,Cambi!$A$2:$A$255)</f>
        <v/>
      </c>
      <c r="H9">
        <f>IF(C9="","",C9/F9)</f>
        <v/>
      </c>
      <c r="I9">
        <f>IF(D9="","",D9/F9)</f>
        <v/>
      </c>
      <c r="J9">
        <f>J8+N(H9)-N(I9)</f>
        <v/>
      </c>
      <c r="K9">
        <f>A10-A9</f>
        <v/>
      </c>
      <c r="L9">
        <f>K9*J9</f>
        <v/>
      </c>
    </row>
    <row r="10">
      <c r="A10" s="2" t="n">
        <v>45691</v>
      </c>
      <c r="B10" t="inlineStr"/>
      <c r="C10" t="n">
        <v>1000</v>
      </c>
      <c r="E10">
        <f>E9+N(C10)-N(D10)</f>
        <v/>
      </c>
      <c r="F10">
        <f>LOOKUP(A10,Cambi!$A$2:$A$255,Cambi!$B$2:$B$255)</f>
        <v/>
      </c>
      <c r="G10" s="2">
        <f>LOOKUP(A10,Cambi!$A$2:$A$255,Cambi!$A$2:$A$255)</f>
        <v/>
      </c>
      <c r="H10">
        <f>IF(C10="","",C10/F10)</f>
        <v/>
      </c>
      <c r="I10">
        <f>IF(D10="","",D10/F10)</f>
        <v/>
      </c>
      <c r="J10">
        <f>J9+N(H10)-N(I10)</f>
        <v/>
      </c>
      <c r="K10">
        <f>A11-A10</f>
        <v/>
      </c>
      <c r="L10">
        <f>K10*J10</f>
        <v/>
      </c>
    </row>
    <row r="11">
      <c r="A11" s="2" t="n">
        <v>45698</v>
      </c>
      <c r="B11" t="inlineStr"/>
      <c r="C11" t="n">
        <v>1000</v>
      </c>
      <c r="E11">
        <f>E10+N(C11)-N(D11)</f>
        <v/>
      </c>
      <c r="F11">
        <f>LOOKUP(A11,Cambi!$A$2:$A$255,Cambi!$B$2:$B$255)</f>
        <v/>
      </c>
      <c r="G11" s="2">
        <f>LOOKUP(A11,Cambi!$A$2:$A$255,Cambi!$A$2:$A$255)</f>
        <v/>
      </c>
      <c r="H11">
        <f>IF(C11="","",C11/F11)</f>
        <v/>
      </c>
      <c r="I11">
        <f>IF(D11="","",D11/F11)</f>
        <v/>
      </c>
      <c r="J11">
        <f>J10+N(H11)-N(I11)</f>
        <v/>
      </c>
      <c r="K11">
        <f>A12-A11</f>
        <v/>
      </c>
      <c r="L11">
        <f>K11*J11</f>
        <v/>
      </c>
    </row>
    <row r="12">
      <c r="A12" s="2" t="n">
        <v>45705</v>
      </c>
      <c r="B12" t="inlineStr"/>
      <c r="D12" t="n">
        <v>700</v>
      </c>
      <c r="E12">
        <f>E11+N(C12)-N(D12)</f>
        <v/>
      </c>
      <c r="F12">
        <f>LOOKUP(A12,Cambi!$A$2:$A$255,Cambi!$B$2:$B$255)</f>
        <v/>
      </c>
      <c r="G12" s="2">
        <f>LOOKUP(A12,Cambi!$A$2:$A$255,Cambi!$A$2:$A$255)</f>
        <v/>
      </c>
      <c r="H12">
        <f>IF(C12="","",C12/F12)</f>
        <v/>
      </c>
      <c r="I12">
        <f>IF(D12="","",D12/F12)</f>
        <v/>
      </c>
      <c r="J12">
        <f>J11+N(H12)-N(I12)</f>
        <v/>
      </c>
      <c r="K12">
        <f>A13-A12</f>
        <v/>
      </c>
      <c r="L12">
        <f>K12*J12</f>
        <v/>
      </c>
    </row>
    <row r="13">
      <c r="A13" s="2" t="n">
        <v>45713</v>
      </c>
      <c r="B13" t="inlineStr"/>
      <c r="C13" t="n">
        <v>600</v>
      </c>
      <c r="E13">
        <f>E12+N(C13)-N(D13)</f>
        <v/>
      </c>
      <c r="F13">
        <f>LOOKUP(A13,Cambi!$A$2:$A$255,Cambi!$B$2:$B$255)</f>
        <v/>
      </c>
      <c r="G13" s="2">
        <f>LOOKUP(A13,Cambi!$A$2:$A$255,Cambi!$A$2:$A$255)</f>
        <v/>
      </c>
      <c r="H13">
        <f>IF(C13="","",C13/F13)</f>
        <v/>
      </c>
      <c r="I13">
        <f>IF(D13="","",D13/F13)</f>
        <v/>
      </c>
      <c r="J13">
        <f>J12+N(H13)-N(I13)</f>
        <v/>
      </c>
      <c r="K13">
        <f>A14-A13</f>
        <v/>
      </c>
      <c r="L13">
        <f>K13*J13</f>
        <v/>
      </c>
    </row>
    <row r="14">
      <c r="A14" s="2" t="n">
        <v>45716</v>
      </c>
      <c r="B14" t="inlineStr"/>
      <c r="C14" t="n">
        <v>2000</v>
      </c>
      <c r="E14">
        <f>E13+N(C14)-N(D14)</f>
        <v/>
      </c>
      <c r="F14">
        <f>LOOKUP(A14,Cambi!$A$2:$A$255,Cambi!$B$2:$B$255)</f>
        <v/>
      </c>
      <c r="G14" s="2">
        <f>LOOKUP(A14,Cambi!$A$2:$A$255,Cambi!$A$2:$A$255)</f>
        <v/>
      </c>
      <c r="H14">
        <f>IF(C14="","",C14/F14)</f>
        <v/>
      </c>
      <c r="I14">
        <f>IF(D14="","",D14/F14)</f>
        <v/>
      </c>
      <c r="J14">
        <f>J13+N(H14)-N(I14)</f>
        <v/>
      </c>
      <c r="K14">
        <f>A15-A14</f>
        <v/>
      </c>
      <c r="L14">
        <f>K14*J14</f>
        <v/>
      </c>
    </row>
    <row r="15">
      <c r="A15" s="2" t="n">
        <v>45716</v>
      </c>
      <c r="B15" t="inlineStr"/>
      <c r="D15" t="n">
        <v>3510.77</v>
      </c>
      <c r="E15">
        <f>E14+N(C15)-N(D15)</f>
        <v/>
      </c>
      <c r="F15">
        <f>LOOKUP(A15,Cambi!$A$2:$A$255,Cambi!$B$2:$B$255)</f>
        <v/>
      </c>
      <c r="G15" s="2">
        <f>LOOKUP(A15,Cambi!$A$2:$A$255,Cambi!$A$2:$A$255)</f>
        <v/>
      </c>
      <c r="H15">
        <f>IF(C15="","",C15/F15)</f>
        <v/>
      </c>
      <c r="I15">
        <f>IF(D15="","",D15/F15)</f>
        <v/>
      </c>
      <c r="J15">
        <f>J14+N(H15)-N(I15)</f>
        <v/>
      </c>
      <c r="K15">
        <f>A16-A15</f>
        <v/>
      </c>
      <c r="L15">
        <f>K15*J15</f>
        <v/>
      </c>
    </row>
    <row r="16">
      <c r="A16" s="2" t="n">
        <v>45721</v>
      </c>
      <c r="B16" t="inlineStr"/>
      <c r="D16" t="n">
        <v>597.6</v>
      </c>
      <c r="E16">
        <f>E15+N(C16)-N(D16)</f>
        <v/>
      </c>
      <c r="F16">
        <f>LOOKUP(A16,Cambi!$A$2:$A$255,Cambi!$B$2:$B$255)</f>
        <v/>
      </c>
      <c r="G16" s="2">
        <f>LOOKUP(A16,Cambi!$A$2:$A$255,Cambi!$A$2:$A$255)</f>
        <v/>
      </c>
      <c r="H16">
        <f>IF(C16="","",C16/F16)</f>
        <v/>
      </c>
      <c r="I16">
        <f>IF(D16="","",D16/F16)</f>
        <v/>
      </c>
      <c r="J16">
        <f>J15+N(H16)-N(I16)</f>
        <v/>
      </c>
      <c r="K16">
        <f>A17-A16</f>
        <v/>
      </c>
      <c r="L16">
        <f>K16*J16</f>
        <v/>
      </c>
    </row>
    <row r="17">
      <c r="A17" s="2" t="n">
        <v>45727</v>
      </c>
      <c r="B17" t="inlineStr"/>
      <c r="C17" t="n">
        <v>1000</v>
      </c>
      <c r="E17">
        <f>E16+N(C17)-N(D17)</f>
        <v/>
      </c>
      <c r="F17">
        <f>LOOKUP(A17,Cambi!$A$2:$A$255,Cambi!$B$2:$B$255)</f>
        <v/>
      </c>
      <c r="G17" s="2">
        <f>LOOKUP(A17,Cambi!$A$2:$A$255,Cambi!$A$2:$A$255)</f>
        <v/>
      </c>
      <c r="H17">
        <f>IF(C17="","",C17/F17)</f>
        <v/>
      </c>
      <c r="I17">
        <f>IF(D17="","",D17/F17)</f>
        <v/>
      </c>
      <c r="J17">
        <f>J16+N(H17)-N(I17)</f>
        <v/>
      </c>
      <c r="K17">
        <f>A18-A17</f>
        <v/>
      </c>
      <c r="L17">
        <f>K17*J17</f>
        <v/>
      </c>
    </row>
    <row r="18">
      <c r="A18" s="2" t="n">
        <v>45736</v>
      </c>
      <c r="B18" t="inlineStr"/>
      <c r="C18" t="n">
        <v>600</v>
      </c>
      <c r="E18">
        <f>E17+N(C18)-N(D18)</f>
        <v/>
      </c>
      <c r="F18">
        <f>LOOKUP(A18,Cambi!$A$2:$A$255,Cambi!$B$2:$B$255)</f>
        <v/>
      </c>
      <c r="G18" s="2">
        <f>LOOKUP(A18,Cambi!$A$2:$A$255,Cambi!$A$2:$A$255)</f>
        <v/>
      </c>
      <c r="H18">
        <f>IF(C18="","",C18/F18)</f>
        <v/>
      </c>
      <c r="I18">
        <f>IF(D18="","",D18/F18)</f>
        <v/>
      </c>
      <c r="J18">
        <f>J17+N(H18)-N(I18)</f>
        <v/>
      </c>
      <c r="K18">
        <f>A19-A18</f>
        <v/>
      </c>
      <c r="L18">
        <f>K18*J18</f>
        <v/>
      </c>
    </row>
    <row r="19">
      <c r="A19" s="2" t="n">
        <v>45756</v>
      </c>
      <c r="B19" t="inlineStr"/>
      <c r="C19" t="n">
        <v>1000</v>
      </c>
      <c r="E19">
        <f>E18+N(C19)-N(D19)</f>
        <v/>
      </c>
      <c r="F19">
        <f>LOOKUP(A19,Cambi!$A$2:$A$255,Cambi!$B$2:$B$255)</f>
        <v/>
      </c>
      <c r="G19" s="2">
        <f>LOOKUP(A19,Cambi!$A$2:$A$255,Cambi!$A$2:$A$255)</f>
        <v/>
      </c>
      <c r="H19">
        <f>IF(C19="","",C19/F19)</f>
        <v/>
      </c>
      <c r="I19">
        <f>IF(D19="","",D19/F19)</f>
        <v/>
      </c>
      <c r="J19">
        <f>J18+N(H19)-N(I19)</f>
        <v/>
      </c>
      <c r="K19">
        <f>A20-A19</f>
        <v/>
      </c>
      <c r="L19">
        <f>K19*J19</f>
        <v/>
      </c>
    </row>
    <row r="20">
      <c r="A20" s="2" t="n">
        <v>45767</v>
      </c>
      <c r="B20" t="inlineStr"/>
      <c r="C20" t="n">
        <v>600</v>
      </c>
      <c r="E20">
        <f>E19+N(C20)-N(D20)</f>
        <v/>
      </c>
      <c r="F20">
        <f>LOOKUP(A20,Cambi!$A$2:$A$255,Cambi!$B$2:$B$255)</f>
        <v/>
      </c>
      <c r="G20" s="2">
        <f>LOOKUP(A20,Cambi!$A$2:$A$255,Cambi!$A$2:$A$255)</f>
        <v/>
      </c>
      <c r="H20">
        <f>IF(C20="","",C20/F20)</f>
        <v/>
      </c>
      <c r="I20">
        <f>IF(D20="","",D20/F20)</f>
        <v/>
      </c>
      <c r="J20">
        <f>J19+N(H20)-N(I20)</f>
        <v/>
      </c>
      <c r="K20">
        <f>A21-A20</f>
        <v/>
      </c>
      <c r="L20">
        <f>K20*J20</f>
        <v/>
      </c>
    </row>
    <row r="21">
      <c r="A21" s="2" t="n">
        <v>45780</v>
      </c>
      <c r="B21" t="inlineStr"/>
      <c r="C21" t="n">
        <v>10000</v>
      </c>
      <c r="E21">
        <f>E20+N(C21)-N(D21)</f>
        <v/>
      </c>
      <c r="F21">
        <f>LOOKUP(A21,Cambi!$A$2:$A$255,Cambi!$B$2:$B$255)</f>
        <v/>
      </c>
      <c r="G21" s="2">
        <f>LOOKUP(A21,Cambi!$A$2:$A$255,Cambi!$A$2:$A$255)</f>
        <v/>
      </c>
      <c r="H21">
        <f>IF(C21="","",C21/F21)</f>
        <v/>
      </c>
      <c r="I21">
        <f>IF(D21="","",D21/F21)</f>
        <v/>
      </c>
      <c r="J21">
        <f>J20+N(H21)-N(I21)</f>
        <v/>
      </c>
      <c r="K21">
        <f>A22-A21</f>
        <v/>
      </c>
      <c r="L21">
        <f>K21*J21</f>
        <v/>
      </c>
    </row>
    <row r="22">
      <c r="A22" s="2" t="n">
        <v>45780</v>
      </c>
      <c r="B22" t="inlineStr"/>
      <c r="D22" t="n">
        <v>11976</v>
      </c>
      <c r="E22">
        <f>E21+N(C22)-N(D22)</f>
        <v/>
      </c>
      <c r="F22">
        <f>LOOKUP(A22,Cambi!$A$2:$A$255,Cambi!$B$2:$B$255)</f>
        <v/>
      </c>
      <c r="G22" s="2">
        <f>LOOKUP(A22,Cambi!$A$2:$A$255,Cambi!$A$2:$A$255)</f>
        <v/>
      </c>
      <c r="H22">
        <f>IF(C22="","",C22/F22)</f>
        <v/>
      </c>
      <c r="I22">
        <f>IF(D22="","",D22/F22)</f>
        <v/>
      </c>
      <c r="J22">
        <f>J21+N(H22)-N(I22)</f>
        <v/>
      </c>
      <c r="K22">
        <f>A23-A22</f>
        <v/>
      </c>
      <c r="L22">
        <f>K22*J22</f>
        <v/>
      </c>
    </row>
    <row r="23">
      <c r="A23" s="2" t="n">
        <v>45786</v>
      </c>
      <c r="B23" t="inlineStr"/>
      <c r="C23" t="n">
        <v>1000</v>
      </c>
      <c r="E23">
        <f>E22+N(C23)-N(D23)</f>
        <v/>
      </c>
      <c r="F23">
        <f>LOOKUP(A23,Cambi!$A$2:$A$255,Cambi!$B$2:$B$255)</f>
        <v/>
      </c>
      <c r="G23" s="2">
        <f>LOOKUP(A23,Cambi!$A$2:$A$255,Cambi!$A$2:$A$255)</f>
        <v/>
      </c>
      <c r="H23">
        <f>IF(C23="","",C23/F23)</f>
        <v/>
      </c>
      <c r="I23">
        <f>IF(D23="","",D23/F23)</f>
        <v/>
      </c>
      <c r="J23">
        <f>J22+N(H23)-N(I23)</f>
        <v/>
      </c>
      <c r="K23">
        <f>A24-A23</f>
        <v/>
      </c>
      <c r="L23">
        <f>K23*J23</f>
        <v/>
      </c>
    </row>
    <row r="24">
      <c r="A24" s="2" t="n">
        <v>45797</v>
      </c>
      <c r="B24" t="inlineStr"/>
      <c r="C24" t="n">
        <v>600</v>
      </c>
      <c r="E24">
        <f>E23+N(C24)-N(D24)</f>
        <v/>
      </c>
      <c r="F24">
        <f>LOOKUP(A24,Cambi!$A$2:$A$255,Cambi!$B$2:$B$255)</f>
        <v/>
      </c>
      <c r="G24" s="2">
        <f>LOOKUP(A24,Cambi!$A$2:$A$255,Cambi!$A$2:$A$255)</f>
        <v/>
      </c>
      <c r="H24">
        <f>IF(C24="","",C24/F24)</f>
        <v/>
      </c>
      <c r="I24">
        <f>IF(D24="","",D24/F24)</f>
        <v/>
      </c>
      <c r="J24">
        <f>J23+N(H24)-N(I24)</f>
        <v/>
      </c>
      <c r="K24">
        <f>A25-A24</f>
        <v/>
      </c>
      <c r="L24">
        <f>K24*J24</f>
        <v/>
      </c>
    </row>
    <row r="25">
      <c r="A25" s="2" t="n">
        <v>45812</v>
      </c>
      <c r="B25" t="inlineStr"/>
      <c r="C25" t="n">
        <v>1000</v>
      </c>
      <c r="E25">
        <f>E24+N(C25)-N(D25)</f>
        <v/>
      </c>
      <c r="F25">
        <f>LOOKUP(A25,Cambi!$A$2:$A$255,Cambi!$B$2:$B$255)</f>
        <v/>
      </c>
      <c r="G25" s="2">
        <f>LOOKUP(A25,Cambi!$A$2:$A$255,Cambi!$A$2:$A$255)</f>
        <v/>
      </c>
      <c r="H25">
        <f>IF(C25="","",C25/F25)</f>
        <v/>
      </c>
      <c r="I25">
        <f>IF(D25="","",D25/F25)</f>
        <v/>
      </c>
      <c r="J25">
        <f>J24+N(H25)-N(I25)</f>
        <v/>
      </c>
      <c r="K25">
        <f>A26-A25</f>
        <v/>
      </c>
      <c r="L25">
        <f>K25*J25</f>
        <v/>
      </c>
    </row>
    <row r="26">
      <c r="A26" s="2" t="n">
        <v>45829</v>
      </c>
      <c r="B26" t="inlineStr"/>
      <c r="C26" t="n">
        <v>600</v>
      </c>
      <c r="E26">
        <f>E25+N(C26)-N(D26)</f>
        <v/>
      </c>
      <c r="F26">
        <f>LOOKUP(A26,Cambi!$A$2:$A$255,Cambi!$B$2:$B$255)</f>
        <v/>
      </c>
      <c r="G26" s="2">
        <f>LOOKUP(A26,Cambi!$A$2:$A$255,Cambi!$A$2:$A$255)</f>
        <v/>
      </c>
      <c r="H26">
        <f>IF(C26="","",C26/F26)</f>
        <v/>
      </c>
      <c r="I26">
        <f>IF(D26="","",D26/F26)</f>
        <v/>
      </c>
      <c r="J26">
        <f>J25+N(H26)-N(I26)</f>
        <v/>
      </c>
      <c r="K26">
        <f>A27-A26</f>
        <v/>
      </c>
      <c r="L26">
        <f>K26*J26</f>
        <v/>
      </c>
    </row>
    <row r="27">
      <c r="A27" s="2" t="n">
        <v>45840</v>
      </c>
      <c r="B27" t="inlineStr"/>
      <c r="D27" t="n">
        <v>3000</v>
      </c>
      <c r="E27">
        <f>E26+N(C27)-N(D27)</f>
        <v/>
      </c>
      <c r="F27">
        <f>LOOKUP(A27,Cambi!$A$2:$A$255,Cambi!$B$2:$B$255)</f>
        <v/>
      </c>
      <c r="G27" s="2">
        <f>LOOKUP(A27,Cambi!$A$2:$A$255,Cambi!$A$2:$A$255)</f>
        <v/>
      </c>
      <c r="H27">
        <f>IF(C27="","",C27/F27)</f>
        <v/>
      </c>
      <c r="I27">
        <f>IF(D27="","",D27/F27)</f>
        <v/>
      </c>
      <c r="J27">
        <f>J26+N(H27)-N(I27)</f>
        <v/>
      </c>
      <c r="K27">
        <f>A28-A27</f>
        <v/>
      </c>
      <c r="L27">
        <f>K27*J27</f>
        <v/>
      </c>
    </row>
    <row r="28">
      <c r="A28" s="2" t="n">
        <v>45840</v>
      </c>
      <c r="B28" t="inlineStr"/>
      <c r="D28" t="n">
        <v>1480</v>
      </c>
      <c r="E28">
        <f>E27+N(C28)-N(D28)</f>
        <v/>
      </c>
      <c r="F28">
        <f>LOOKUP(A28,Cambi!$A$2:$A$255,Cambi!$B$2:$B$255)</f>
        <v/>
      </c>
      <c r="G28" s="2">
        <f>LOOKUP(A28,Cambi!$A$2:$A$255,Cambi!$A$2:$A$255)</f>
        <v/>
      </c>
      <c r="H28">
        <f>IF(C28="","",C28/F28)</f>
        <v/>
      </c>
      <c r="I28">
        <f>IF(D28="","",D28/F28)</f>
        <v/>
      </c>
      <c r="J28">
        <f>J27+N(H28)-N(I28)</f>
        <v/>
      </c>
      <c r="K28">
        <f>A29-A28</f>
        <v/>
      </c>
      <c r="L28">
        <f>K28*J28</f>
        <v/>
      </c>
    </row>
    <row r="29">
      <c r="A29" s="2" t="n">
        <v>45861</v>
      </c>
      <c r="B29" t="inlineStr"/>
      <c r="C29" t="n">
        <v>600</v>
      </c>
      <c r="E29">
        <f>E28+N(C29)-N(D29)</f>
        <v/>
      </c>
      <c r="F29">
        <f>LOOKUP(A29,Cambi!$A$2:$A$255,Cambi!$B$2:$B$255)</f>
        <v/>
      </c>
      <c r="G29" s="2">
        <f>LOOKUP(A29,Cambi!$A$2:$A$255,Cambi!$A$2:$A$255)</f>
        <v/>
      </c>
      <c r="H29">
        <f>IF(C29="","",C29/F29)</f>
        <v/>
      </c>
      <c r="I29">
        <f>IF(D29="","",D29/F29)</f>
        <v/>
      </c>
      <c r="J29">
        <f>J28+N(H29)-N(I29)</f>
        <v/>
      </c>
      <c r="K29">
        <f>A30-A29</f>
        <v/>
      </c>
      <c r="L29">
        <f>K29*J29</f>
        <v/>
      </c>
    </row>
    <row r="30">
      <c r="A30" s="2" t="n">
        <v>45863</v>
      </c>
      <c r="B30" t="inlineStr"/>
      <c r="C30" t="n">
        <v>4000</v>
      </c>
      <c r="E30">
        <f>E29+N(C30)-N(D30)</f>
        <v/>
      </c>
      <c r="F30">
        <f>LOOKUP(A30,Cambi!$A$2:$A$255,Cambi!$B$2:$B$255)</f>
        <v/>
      </c>
      <c r="G30" s="2">
        <f>LOOKUP(A30,Cambi!$A$2:$A$255,Cambi!$A$2:$A$255)</f>
        <v/>
      </c>
      <c r="H30">
        <f>IF(C30="","",C30/F30)</f>
        <v/>
      </c>
      <c r="I30">
        <f>IF(D30="","",D30/F30)</f>
        <v/>
      </c>
      <c r="J30">
        <f>J29+N(H30)-N(I30)</f>
        <v/>
      </c>
      <c r="K30">
        <f>A31-A30</f>
        <v/>
      </c>
      <c r="L30">
        <f>K30*J30</f>
        <v/>
      </c>
    </row>
    <row r="31">
      <c r="A31" s="2" t="n">
        <v>45863</v>
      </c>
      <c r="B31" t="inlineStr"/>
      <c r="D31" t="n">
        <v>4941.4</v>
      </c>
      <c r="E31">
        <f>E30+N(C31)-N(D31)</f>
        <v/>
      </c>
      <c r="F31">
        <f>LOOKUP(A31,Cambi!$A$2:$A$255,Cambi!$B$2:$B$255)</f>
        <v/>
      </c>
      <c r="G31" s="2">
        <f>LOOKUP(A31,Cambi!$A$2:$A$255,Cambi!$A$2:$A$255)</f>
        <v/>
      </c>
      <c r="H31">
        <f>IF(C31="","",C31/F31)</f>
        <v/>
      </c>
      <c r="I31">
        <f>IF(D31="","",D31/F31)</f>
        <v/>
      </c>
      <c r="J31">
        <f>J30+N(H31)-N(I31)</f>
        <v/>
      </c>
      <c r="K31">
        <f>A32-A31</f>
        <v/>
      </c>
      <c r="L31">
        <f>K31*J31</f>
        <v/>
      </c>
    </row>
    <row r="32">
      <c r="A32" s="2" t="n">
        <v>45876</v>
      </c>
      <c r="B32" t="inlineStr"/>
      <c r="C32" t="n">
        <v>1000</v>
      </c>
      <c r="E32">
        <f>E31+N(C32)-N(D32)</f>
        <v/>
      </c>
      <c r="F32">
        <f>LOOKUP(A32,Cambi!$A$2:$A$255,Cambi!$B$2:$B$255)</f>
        <v/>
      </c>
      <c r="G32" s="2">
        <f>LOOKUP(A32,Cambi!$A$2:$A$255,Cambi!$A$2:$A$255)</f>
        <v/>
      </c>
      <c r="H32">
        <f>IF(C32="","",C32/F32)</f>
        <v/>
      </c>
      <c r="I32">
        <f>IF(D32="","",D32/F32)</f>
        <v/>
      </c>
      <c r="J32">
        <f>J31+N(H32)-N(I32)</f>
        <v/>
      </c>
      <c r="K32">
        <f>A33-A32</f>
        <v/>
      </c>
      <c r="L32">
        <f>K32*J32</f>
        <v/>
      </c>
    </row>
    <row r="33">
      <c r="A33" s="2" t="n">
        <v>45888</v>
      </c>
      <c r="B33" t="inlineStr"/>
      <c r="D33" t="n">
        <v>180</v>
      </c>
      <c r="E33">
        <f>E32+N(C33)-N(D33)</f>
        <v/>
      </c>
      <c r="F33">
        <f>LOOKUP(A33,Cambi!$A$2:$A$255,Cambi!$B$2:$B$255)</f>
        <v/>
      </c>
      <c r="G33" s="2">
        <f>LOOKUP(A33,Cambi!$A$2:$A$255,Cambi!$A$2:$A$255)</f>
        <v/>
      </c>
      <c r="H33">
        <f>IF(C33="","",C33/F33)</f>
        <v/>
      </c>
      <c r="I33">
        <f>IF(D33="","",D33/F33)</f>
        <v/>
      </c>
      <c r="J33">
        <f>J32+N(H33)-N(I33)</f>
        <v/>
      </c>
      <c r="K33">
        <f>A34-A33</f>
        <v/>
      </c>
      <c r="L33">
        <f>K33*J33</f>
        <v/>
      </c>
    </row>
    <row r="34">
      <c r="A34" s="2" t="n">
        <v>45889</v>
      </c>
      <c r="B34" t="inlineStr"/>
      <c r="C34" t="n">
        <v>600</v>
      </c>
      <c r="E34">
        <f>E33+N(C34)-N(D34)</f>
        <v/>
      </c>
      <c r="F34">
        <f>LOOKUP(A34,Cambi!$A$2:$A$255,Cambi!$B$2:$B$255)</f>
        <v/>
      </c>
      <c r="G34" s="2">
        <f>LOOKUP(A34,Cambi!$A$2:$A$255,Cambi!$A$2:$A$255)</f>
        <v/>
      </c>
      <c r="H34">
        <f>IF(C34="","",C34/F34)</f>
        <v/>
      </c>
      <c r="I34">
        <f>IF(D34="","",D34/F34)</f>
        <v/>
      </c>
      <c r="J34">
        <f>J33+N(H34)-N(I34)</f>
        <v/>
      </c>
      <c r="K34">
        <f>A35-A34</f>
        <v/>
      </c>
      <c r="L34">
        <f>K34*J34</f>
        <v/>
      </c>
    </row>
    <row r="35">
      <c r="A35" s="2" t="n">
        <v>45905</v>
      </c>
      <c r="B35" t="inlineStr"/>
      <c r="C35" t="n">
        <v>1000</v>
      </c>
      <c r="E35">
        <f>E34+N(C35)-N(D35)</f>
        <v/>
      </c>
      <c r="F35">
        <f>LOOKUP(A35,Cambi!$A$2:$A$255,Cambi!$B$2:$B$255)</f>
        <v/>
      </c>
      <c r="G35" s="2">
        <f>LOOKUP(A35,Cambi!$A$2:$A$255,Cambi!$A$2:$A$255)</f>
        <v/>
      </c>
      <c r="H35">
        <f>IF(C35="","",C35/F35)</f>
        <v/>
      </c>
      <c r="I35">
        <f>IF(D35="","",D35/F35)</f>
        <v/>
      </c>
      <c r="J35">
        <f>J34+N(H35)-N(I35)</f>
        <v/>
      </c>
      <c r="K35">
        <f>A36-A35</f>
        <v/>
      </c>
      <c r="L35">
        <f>K35*J35</f>
        <v/>
      </c>
    </row>
    <row r="36">
      <c r="A36" s="2" t="n">
        <v>45920</v>
      </c>
      <c r="B36" t="inlineStr"/>
      <c r="C36" t="n">
        <v>600</v>
      </c>
      <c r="E36">
        <f>E35+N(C36)-N(D36)</f>
        <v/>
      </c>
      <c r="F36">
        <f>LOOKUP(A36,Cambi!$A$2:$A$255,Cambi!$B$2:$B$255)</f>
        <v/>
      </c>
      <c r="G36" s="2">
        <f>LOOKUP(A36,Cambi!$A$2:$A$255,Cambi!$A$2:$A$255)</f>
        <v/>
      </c>
      <c r="H36">
        <f>IF(C36="","",C36/F36)</f>
        <v/>
      </c>
      <c r="I36">
        <f>IF(D36="","",D36/F36)</f>
        <v/>
      </c>
      <c r="J36">
        <f>J35+N(H36)-N(I36)</f>
        <v/>
      </c>
      <c r="K36">
        <f>A37-A36</f>
        <v/>
      </c>
      <c r="L36">
        <f>K36*J36</f>
        <v/>
      </c>
    </row>
    <row r="37">
      <c r="A37" s="2" t="n">
        <v>45927</v>
      </c>
      <c r="B37" t="inlineStr"/>
      <c r="D37" t="n">
        <v>2000</v>
      </c>
      <c r="E37">
        <f>E36+N(C37)-N(D37)</f>
        <v/>
      </c>
      <c r="F37">
        <f>LOOKUP(A37,Cambi!$A$2:$A$255,Cambi!$B$2:$B$255)</f>
        <v/>
      </c>
      <c r="G37" s="2">
        <f>LOOKUP(A37,Cambi!$A$2:$A$255,Cambi!$A$2:$A$255)</f>
        <v/>
      </c>
      <c r="H37">
        <f>IF(C37="","",C37/F37)</f>
        <v/>
      </c>
      <c r="I37">
        <f>IF(D37="","",D37/F37)</f>
        <v/>
      </c>
      <c r="J37">
        <f>J36+N(H37)-N(I37)</f>
        <v/>
      </c>
      <c r="K37">
        <f>A38-A37</f>
        <v/>
      </c>
      <c r="L37">
        <f>K37*J37</f>
        <v/>
      </c>
    </row>
    <row r="38">
      <c r="A38" s="2" t="n">
        <v>45940</v>
      </c>
      <c r="B38" t="inlineStr"/>
      <c r="C38" t="n">
        <v>1000</v>
      </c>
      <c r="E38">
        <f>E37+N(C38)-N(D38)</f>
        <v/>
      </c>
      <c r="F38">
        <f>LOOKUP(A38,Cambi!$A$2:$A$255,Cambi!$B$2:$B$255)</f>
        <v/>
      </c>
      <c r="G38" s="2">
        <f>LOOKUP(A38,Cambi!$A$2:$A$255,Cambi!$A$2:$A$255)</f>
        <v/>
      </c>
      <c r="H38">
        <f>IF(C38="","",C38/F38)</f>
        <v/>
      </c>
      <c r="I38">
        <f>IF(D38="","",D38/F38)</f>
        <v/>
      </c>
      <c r="J38">
        <f>J37+N(H38)-N(I38)</f>
        <v/>
      </c>
      <c r="K38">
        <f>A39-A38</f>
        <v/>
      </c>
      <c r="L38">
        <f>K38*J38</f>
        <v/>
      </c>
    </row>
    <row r="39">
      <c r="A39" s="2" t="n">
        <v>45949</v>
      </c>
      <c r="B39" t="inlineStr"/>
      <c r="C39" t="n">
        <v>600</v>
      </c>
      <c r="E39">
        <f>E38+N(C39)-N(D39)</f>
        <v/>
      </c>
      <c r="F39">
        <f>LOOKUP(A39,Cambi!$A$2:$A$255,Cambi!$B$2:$B$255)</f>
        <v/>
      </c>
      <c r="G39" s="2">
        <f>LOOKUP(A39,Cambi!$A$2:$A$255,Cambi!$A$2:$A$255)</f>
        <v/>
      </c>
      <c r="H39">
        <f>IF(C39="","",C39/F39)</f>
        <v/>
      </c>
      <c r="I39">
        <f>IF(D39="","",D39/F39)</f>
        <v/>
      </c>
      <c r="J39">
        <f>J38+N(H39)-N(I39)</f>
        <v/>
      </c>
      <c r="K39">
        <f>A40-A39</f>
        <v/>
      </c>
      <c r="L39">
        <f>K39*J39</f>
        <v/>
      </c>
    </row>
    <row r="40">
      <c r="A40" s="2" t="n">
        <v>45965</v>
      </c>
      <c r="B40" t="inlineStr"/>
      <c r="C40" t="n">
        <v>1000</v>
      </c>
      <c r="E40">
        <f>E39+N(C40)-N(D40)</f>
        <v/>
      </c>
      <c r="F40">
        <f>LOOKUP(A40,Cambi!$A$2:$A$255,Cambi!$B$2:$B$255)</f>
        <v/>
      </c>
      <c r="G40" s="2">
        <f>LOOKUP(A40,Cambi!$A$2:$A$255,Cambi!$A$2:$A$255)</f>
        <v/>
      </c>
      <c r="H40">
        <f>IF(C40="","",C40/F40)</f>
        <v/>
      </c>
      <c r="I40">
        <f>IF(D40="","",D40/F40)</f>
        <v/>
      </c>
      <c r="J40">
        <f>J39+N(H40)-N(I40)</f>
        <v/>
      </c>
      <c r="K40">
        <f>A41-A40</f>
        <v/>
      </c>
      <c r="L40">
        <f>K40*J40</f>
        <v/>
      </c>
    </row>
    <row r="41">
      <c r="A41" s="2" t="n">
        <v>45977</v>
      </c>
      <c r="B41" t="inlineStr"/>
      <c r="D41" t="n">
        <v>2000</v>
      </c>
      <c r="E41">
        <f>E40+N(C41)-N(D41)</f>
        <v/>
      </c>
      <c r="F41">
        <f>LOOKUP(A41,Cambi!$A$2:$A$255,Cambi!$B$2:$B$255)</f>
        <v/>
      </c>
      <c r="G41" s="2">
        <f>LOOKUP(A41,Cambi!$A$2:$A$255,Cambi!$A$2:$A$255)</f>
        <v/>
      </c>
      <c r="H41">
        <f>IF(C41="","",C41/F41)</f>
        <v/>
      </c>
      <c r="I41">
        <f>IF(D41="","",D41/F41)</f>
        <v/>
      </c>
      <c r="J41">
        <f>J40+N(H41)-N(I41)</f>
        <v/>
      </c>
      <c r="K41">
        <f>A42-A41</f>
        <v/>
      </c>
      <c r="L41">
        <f>K41*J41</f>
        <v/>
      </c>
    </row>
    <row r="42">
      <c r="A42" s="2" t="n">
        <v>45987</v>
      </c>
      <c r="B42" t="inlineStr"/>
      <c r="C42" t="n">
        <v>600</v>
      </c>
      <c r="E42">
        <f>E41+N(C42)-N(D42)</f>
        <v/>
      </c>
      <c r="F42">
        <f>LOOKUP(A42,Cambi!$A$2:$A$255,Cambi!$B$2:$B$255)</f>
        <v/>
      </c>
      <c r="G42" s="2">
        <f>LOOKUP(A42,Cambi!$A$2:$A$255,Cambi!$A$2:$A$255)</f>
        <v/>
      </c>
      <c r="H42">
        <f>IF(C42="","",C42/F42)</f>
        <v/>
      </c>
      <c r="I42">
        <f>IF(D42="","",D42/F42)</f>
        <v/>
      </c>
      <c r="J42">
        <f>J41+N(H42)-N(I42)</f>
        <v/>
      </c>
      <c r="K42">
        <f>A43-A42</f>
        <v/>
      </c>
      <c r="L42">
        <f>K42*J42</f>
        <v/>
      </c>
    </row>
    <row r="43">
      <c r="A43" s="2" t="n">
        <v>45993</v>
      </c>
      <c r="B43" t="inlineStr"/>
      <c r="D43" t="n">
        <v>1768.3</v>
      </c>
      <c r="E43">
        <f>E42+N(C43)-N(D43)</f>
        <v/>
      </c>
      <c r="F43">
        <f>LOOKUP(A43,Cambi!$A$2:$A$255,Cambi!$B$2:$B$255)</f>
        <v/>
      </c>
      <c r="G43" s="2">
        <f>LOOKUP(A43,Cambi!$A$2:$A$255,Cambi!$A$2:$A$255)</f>
        <v/>
      </c>
      <c r="H43">
        <f>IF(C43="","",C43/F43)</f>
        <v/>
      </c>
      <c r="I43">
        <f>IF(D43="","",D43/F43)</f>
        <v/>
      </c>
      <c r="J43">
        <f>J42+N(H43)-N(I43)</f>
        <v/>
      </c>
      <c r="K43">
        <f>A44-A43</f>
        <v/>
      </c>
      <c r="L43">
        <f>K43*J43</f>
        <v/>
      </c>
    </row>
    <row r="44">
      <c r="A44" s="2" t="n">
        <v>45995</v>
      </c>
      <c r="B44" t="inlineStr"/>
      <c r="C44" t="n">
        <v>1000</v>
      </c>
      <c r="E44">
        <f>E43+N(C44)-N(D44)</f>
        <v/>
      </c>
      <c r="F44">
        <f>LOOKUP(A44,Cambi!$A$2:$A$255,Cambi!$B$2:$B$255)</f>
        <v/>
      </c>
      <c r="G44" s="2">
        <f>LOOKUP(A44,Cambi!$A$2:$A$255,Cambi!$A$2:$A$255)</f>
        <v/>
      </c>
      <c r="H44">
        <f>IF(C44="","",C44/F44)</f>
        <v/>
      </c>
      <c r="I44">
        <f>IF(D44="","",D44/F44)</f>
        <v/>
      </c>
      <c r="J44">
        <f>J43+N(H44)-N(I44)</f>
        <v/>
      </c>
      <c r="K44">
        <f>A45-A44</f>
        <v/>
      </c>
      <c r="L44">
        <f>K44*J44</f>
        <v/>
      </c>
    </row>
    <row r="45">
      <c r="A45" s="2" t="n">
        <v>46011</v>
      </c>
      <c r="B45" t="inlineStr"/>
      <c r="C45" t="n">
        <v>600</v>
      </c>
      <c r="E45">
        <f>E44+N(C45)-N(D45)</f>
        <v/>
      </c>
      <c r="F45">
        <f>LOOKUP(A45,Cambi!$A$2:$A$255,Cambi!$B$2:$B$255)</f>
        <v/>
      </c>
      <c r="G45" s="2">
        <f>LOOKUP(A45,Cambi!$A$2:$A$255,Cambi!$A$2:$A$255)</f>
        <v/>
      </c>
      <c r="H45">
        <f>IF(C45="","",C45/F45)</f>
        <v/>
      </c>
      <c r="I45">
        <f>IF(D45="","",D45/F45)</f>
        <v/>
      </c>
      <c r="J45">
        <f>J44+N(H45)-N(I45)</f>
        <v/>
      </c>
      <c r="K45">
        <f>DATE(YEAR(A45),12,31)-A45</f>
        <v/>
      </c>
      <c r="L45">
        <f>K45*J45</f>
        <v/>
      </c>
    </row>
    <row r="47">
      <c r="B47" s="1" t="inlineStr">
        <is>
          <t>giacenza media (EUR)</t>
        </is>
      </c>
      <c r="J47">
        <f>SUM(L2:L45)/SUM(K2:K45)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data</t>
        </is>
      </c>
      <c r="B1" s="1" t="inlineStr">
        <is>
          <t>cambio USD per 1 EUR</t>
        </is>
      </c>
      <c r="C1" s="1" t="inlineStr">
        <is>
          <t>fonte</t>
        </is>
      </c>
    </row>
    <row r="2">
      <c r="A2" s="2" t="n">
        <v>45649</v>
      </c>
      <c r="B2" t="n">
        <v>1.0393</v>
      </c>
      <c r="C2" t="inlineStr">
        <is>
          <t>Banca d'Italia - tassi di cambio (ex UIC)</t>
        </is>
      </c>
    </row>
    <row r="3">
      <c r="A3" s="2" t="n">
        <v>45650</v>
      </c>
      <c r="B3" t="n">
        <v>1.0395</v>
      </c>
      <c r="C3" t="inlineStr">
        <is>
          <t>Banca d'Italia - tassi di cambio (ex UIC)</t>
        </is>
      </c>
    </row>
    <row r="4">
      <c r="A4" s="2" t="n">
        <v>45653</v>
      </c>
      <c r="B4" t="n">
        <v>1.0435</v>
      </c>
      <c r="C4" t="inlineStr">
        <is>
          <t>Banca d'Italia - tassi di cambio (ex UIC)</t>
        </is>
      </c>
    </row>
    <row r="5">
      <c r="A5" s="2" t="n">
        <v>45656</v>
      </c>
      <c r="B5" t="n">
        <v>1.0444</v>
      </c>
      <c r="C5" t="inlineStr">
        <is>
          <t>Banca d'Italia - tassi di cambio (ex UIC)</t>
        </is>
      </c>
    </row>
    <row r="6">
      <c r="A6" s="2" t="n">
        <v>45657</v>
      </c>
      <c r="B6" t="n">
        <v>1.0389</v>
      </c>
      <c r="C6" t="inlineStr">
        <is>
          <t>Banca d'Italia - tassi di cambio (ex UIC)</t>
        </is>
      </c>
    </row>
    <row r="7">
      <c r="A7" s="2" t="n">
        <v>45659</v>
      </c>
      <c r="B7" t="n">
        <v>1.0321</v>
      </c>
      <c r="C7" t="inlineStr">
        <is>
          <t>Banca d'Italia - tassi di cambio (ex UIC)</t>
        </is>
      </c>
    </row>
    <row r="8">
      <c r="A8" s="2" t="n">
        <v>45660</v>
      </c>
      <c r="B8" t="n">
        <v>1.0299</v>
      </c>
      <c r="C8" t="inlineStr">
        <is>
          <t>Banca d'Italia - tassi di cambio (ex UIC)</t>
        </is>
      </c>
    </row>
    <row r="9">
      <c r="A9" s="2" t="n">
        <v>45663</v>
      </c>
      <c r="B9" t="n">
        <v>1.0426</v>
      </c>
      <c r="C9" t="inlineStr">
        <is>
          <t>Banca d'Italia - tassi di cambio (ex UIC)</t>
        </is>
      </c>
    </row>
    <row r="10">
      <c r="A10" s="2" t="n">
        <v>45664</v>
      </c>
      <c r="B10" t="n">
        <v>1.0393</v>
      </c>
      <c r="C10" t="inlineStr">
        <is>
          <t>Banca d'Italia - tassi di cambio (ex UIC)</t>
        </is>
      </c>
    </row>
    <row r="11">
      <c r="A11" s="2" t="n">
        <v>45665</v>
      </c>
      <c r="B11" t="n">
        <v>1.0286</v>
      </c>
      <c r="C11" t="inlineStr">
        <is>
          <t>Banca d'Italia - tassi di cambio (ex UIC)</t>
        </is>
      </c>
    </row>
    <row r="12">
      <c r="A12" s="2" t="n">
        <v>45666</v>
      </c>
      <c r="B12" t="n">
        <v>1.0305</v>
      </c>
      <c r="C12" t="inlineStr">
        <is>
          <t>Banca d'Italia - tassi di cambio (ex UIC)</t>
        </is>
      </c>
    </row>
    <row r="13">
      <c r="A13" s="2" t="n">
        <v>45667</v>
      </c>
      <c r="B13" t="n">
        <v>1.0304</v>
      </c>
      <c r="C13" t="inlineStr">
        <is>
          <t>Banca d'Italia - tassi di cambio (ex UIC)</t>
        </is>
      </c>
    </row>
    <row r="14">
      <c r="A14" s="2" t="n">
        <v>45670</v>
      </c>
      <c r="B14" t="n">
        <v>1.0198</v>
      </c>
      <c r="C14" t="inlineStr">
        <is>
          <t>Banca d'Italia - tassi di cambio (ex UIC)</t>
        </is>
      </c>
    </row>
    <row r="15">
      <c r="A15" s="2" t="n">
        <v>45671</v>
      </c>
      <c r="B15" t="n">
        <v>1.0245</v>
      </c>
      <c r="C15" t="inlineStr">
        <is>
          <t>Banca d'Italia - tassi di cambio (ex UIC)</t>
        </is>
      </c>
    </row>
    <row r="16">
      <c r="A16" s="2" t="n">
        <v>45672</v>
      </c>
      <c r="B16" t="n">
        <v>1.03</v>
      </c>
      <c r="C16" t="inlineStr">
        <is>
          <t>Banca d'Italia - tassi di cambio (ex UIC)</t>
        </is>
      </c>
    </row>
    <row r="17">
      <c r="A17" s="2" t="n">
        <v>45673</v>
      </c>
      <c r="B17" t="n">
        <v>1.0272</v>
      </c>
      <c r="C17" t="inlineStr">
        <is>
          <t>Banca d'Italia - tassi di cambio (ex UIC)</t>
        </is>
      </c>
    </row>
    <row r="18">
      <c r="A18" s="2" t="n">
        <v>45674</v>
      </c>
      <c r="B18" t="n">
        <v>1.0298</v>
      </c>
      <c r="C18" t="inlineStr">
        <is>
          <t>Banca d'Italia - tassi di cambio (ex UIC)</t>
        </is>
      </c>
    </row>
    <row r="19">
      <c r="A19" s="2" t="n">
        <v>45677</v>
      </c>
      <c r="B19" t="n">
        <v>1.0316</v>
      </c>
      <c r="C19" t="inlineStr">
        <is>
          <t>Banca d'Italia - tassi di cambio (ex UIC)</t>
        </is>
      </c>
    </row>
    <row r="20">
      <c r="A20" s="2" t="n">
        <v>45678</v>
      </c>
      <c r="B20" t="n">
        <v>1.0357</v>
      </c>
      <c r="C20" t="inlineStr">
        <is>
          <t>Banca d'Italia - tassi di cambio (ex UIC)</t>
        </is>
      </c>
    </row>
    <row r="21">
      <c r="A21" s="2" t="n">
        <v>45679</v>
      </c>
      <c r="B21" t="n">
        <v>1.0443</v>
      </c>
      <c r="C21" t="inlineStr">
        <is>
          <t>Banca d'Italia - tassi di cambio (ex UIC)</t>
        </is>
      </c>
    </row>
    <row r="22">
      <c r="A22" s="2" t="n">
        <v>45680</v>
      </c>
      <c r="B22" t="n">
        <v>1.0404</v>
      </c>
      <c r="C22" t="inlineStr">
        <is>
          <t>Banca d'Italia - tassi di cambio (ex UIC)</t>
        </is>
      </c>
    </row>
    <row r="23">
      <c r="A23" s="2" t="n">
        <v>45681</v>
      </c>
      <c r="B23" t="n">
        <v>1.0472</v>
      </c>
      <c r="C23" t="inlineStr">
        <is>
          <t>Banca d'Italia - tassi di cambio (ex UIC)</t>
        </is>
      </c>
    </row>
    <row r="24">
      <c r="A24" s="2" t="n">
        <v>45684</v>
      </c>
      <c r="B24" t="n">
        <v>1.053</v>
      </c>
      <c r="C24" t="inlineStr">
        <is>
          <t>Banca d'Italia - tassi di cambio (ex UIC)</t>
        </is>
      </c>
    </row>
    <row r="25">
      <c r="A25" s="2" t="n">
        <v>45685</v>
      </c>
      <c r="B25" t="n">
        <v>1.0421</v>
      </c>
      <c r="C25" t="inlineStr">
        <is>
          <t>Banca d'Italia - tassi di cambio (ex UIC)</t>
        </is>
      </c>
    </row>
    <row r="26">
      <c r="A26" s="2" t="n">
        <v>45686</v>
      </c>
      <c r="B26" t="n">
        <v>1.0396</v>
      </c>
      <c r="C26" t="inlineStr">
        <is>
          <t>Banca d'Italia - tassi di cambio (ex UIC)</t>
        </is>
      </c>
    </row>
    <row r="27">
      <c r="A27" s="2" t="n">
        <v>45687</v>
      </c>
      <c r="B27" t="n">
        <v>1.0403</v>
      </c>
      <c r="C27" t="inlineStr">
        <is>
          <t>Banca d'Italia - tassi di cambio (ex UIC)</t>
        </is>
      </c>
    </row>
    <row r="28">
      <c r="A28" s="2" t="n">
        <v>45688</v>
      </c>
      <c r="B28" t="n">
        <v>1.0393</v>
      </c>
      <c r="C28" t="inlineStr">
        <is>
          <t>Banca d'Italia - tassi di cambio (ex UIC)</t>
        </is>
      </c>
    </row>
    <row r="29">
      <c r="A29" s="2" t="n">
        <v>45691</v>
      </c>
      <c r="B29" t="n">
        <v>1.0274</v>
      </c>
      <c r="C29" t="inlineStr">
        <is>
          <t>Banca d'Italia - tassi di cambio (ex UIC)</t>
        </is>
      </c>
    </row>
    <row r="30">
      <c r="A30" s="2" t="n">
        <v>45692</v>
      </c>
      <c r="B30" t="n">
        <v>1.0335</v>
      </c>
      <c r="C30" t="inlineStr">
        <is>
          <t>Banca d'Italia - tassi di cambio (ex UIC)</t>
        </is>
      </c>
    </row>
    <row r="31">
      <c r="A31" s="2" t="n">
        <v>45693</v>
      </c>
      <c r="B31" t="n">
        <v>1.0422</v>
      </c>
      <c r="C31" t="inlineStr">
        <is>
          <t>Banca d'Italia - tassi di cambio (ex UIC)</t>
        </is>
      </c>
    </row>
    <row r="32">
      <c r="A32" s="2" t="n">
        <v>45694</v>
      </c>
      <c r="B32" t="n">
        <v>1.036</v>
      </c>
      <c r="C32" t="inlineStr">
        <is>
          <t>Banca d'Italia - tassi di cambio (ex UIC)</t>
        </is>
      </c>
    </row>
    <row r="33">
      <c r="A33" s="2" t="n">
        <v>45695</v>
      </c>
      <c r="B33" t="n">
        <v>1.0377</v>
      </c>
      <c r="C33" t="inlineStr">
        <is>
          <t>Banca d'Italia - tassi di cambio (ex UIC)</t>
        </is>
      </c>
    </row>
    <row r="34">
      <c r="A34" s="2" t="n">
        <v>45698</v>
      </c>
      <c r="B34" t="n">
        <v>1.032</v>
      </c>
      <c r="C34" t="inlineStr">
        <is>
          <t>Banca d'Italia - tassi di cambio (ex UIC)</t>
        </is>
      </c>
    </row>
    <row r="35">
      <c r="A35" s="2" t="n">
        <v>45699</v>
      </c>
      <c r="B35" t="n">
        <v>1.0324</v>
      </c>
      <c r="C35" t="inlineStr">
        <is>
          <t>Banca d'Italia - tassi di cambio (ex UIC)</t>
        </is>
      </c>
    </row>
    <row r="36">
      <c r="A36" s="2" t="n">
        <v>45700</v>
      </c>
      <c r="B36" t="n">
        <v>1.037</v>
      </c>
      <c r="C36" t="inlineStr">
        <is>
          <t>Banca d'Italia - tassi di cambio (ex UIC)</t>
        </is>
      </c>
    </row>
    <row r="37">
      <c r="A37" s="2" t="n">
        <v>45701</v>
      </c>
      <c r="B37" t="n">
        <v>1.039</v>
      </c>
      <c r="C37" t="inlineStr">
        <is>
          <t>Banca d'Italia - tassi di cambio (ex UIC)</t>
        </is>
      </c>
    </row>
    <row r="38">
      <c r="A38" s="2" t="n">
        <v>45702</v>
      </c>
      <c r="B38" t="n">
        <v>1.0478</v>
      </c>
      <c r="C38" t="inlineStr">
        <is>
          <t>Banca d'Italia - tassi di cambio (ex UIC)</t>
        </is>
      </c>
    </row>
    <row r="39">
      <c r="A39" s="2" t="n">
        <v>45705</v>
      </c>
      <c r="B39" t="n">
        <v>1.0473</v>
      </c>
      <c r="C39" t="inlineStr">
        <is>
          <t>Banca d'Italia - tassi di cambio (ex UIC)</t>
        </is>
      </c>
    </row>
    <row r="40">
      <c r="A40" s="2" t="n">
        <v>45706</v>
      </c>
      <c r="B40" t="n">
        <v>1.0447</v>
      </c>
      <c r="C40" t="inlineStr">
        <is>
          <t>Banca d'Italia - tassi di cambio (ex UIC)</t>
        </is>
      </c>
    </row>
    <row r="41">
      <c r="A41" s="2" t="n">
        <v>45707</v>
      </c>
      <c r="B41" t="n">
        <v>1.0434</v>
      </c>
      <c r="C41" t="inlineStr">
        <is>
          <t>Banca d'Italia - tassi di cambio (ex UIC)</t>
        </is>
      </c>
    </row>
    <row r="42">
      <c r="A42" s="2" t="n">
        <v>45708</v>
      </c>
      <c r="B42" t="n">
        <v>1.0443</v>
      </c>
      <c r="C42" t="inlineStr">
        <is>
          <t>Banca d'Italia - tassi di cambio (ex UIC)</t>
        </is>
      </c>
    </row>
    <row r="43">
      <c r="A43" s="2" t="n">
        <v>45709</v>
      </c>
      <c r="B43" t="n">
        <v>1.0465</v>
      </c>
      <c r="C43" t="inlineStr">
        <is>
          <t>Banca d'Italia - tassi di cambio (ex UIC)</t>
        </is>
      </c>
    </row>
    <row r="44">
      <c r="A44" s="2" t="n">
        <v>45712</v>
      </c>
      <c r="B44" t="n">
        <v>1.0466</v>
      </c>
      <c r="C44" t="inlineStr">
        <is>
          <t>Banca d'Italia - tassi di cambio (ex UIC)</t>
        </is>
      </c>
    </row>
    <row r="45">
      <c r="A45" s="2" t="n">
        <v>45713</v>
      </c>
      <c r="B45" t="n">
        <v>1.0497</v>
      </c>
      <c r="C45" t="inlineStr">
        <is>
          <t>Banca d'Italia - tassi di cambio (ex UIC)</t>
        </is>
      </c>
    </row>
    <row r="46">
      <c r="A46" s="2" t="n">
        <v>45714</v>
      </c>
      <c r="B46" t="n">
        <v>1.0487</v>
      </c>
      <c r="C46" t="inlineStr">
        <is>
          <t>Banca d'Italia - tassi di cambio (ex UIC)</t>
        </is>
      </c>
    </row>
    <row r="47">
      <c r="A47" s="2" t="n">
        <v>45715</v>
      </c>
      <c r="B47" t="n">
        <v>1.0477</v>
      </c>
      <c r="C47" t="inlineStr">
        <is>
          <t>Banca d'Italia - tassi di cambio (ex UIC)</t>
        </is>
      </c>
    </row>
    <row r="48">
      <c r="A48" s="2" t="n">
        <v>45716</v>
      </c>
      <c r="B48" t="n">
        <v>1.0411</v>
      </c>
      <c r="C48" t="inlineStr">
        <is>
          <t>Banca d'Italia - tassi di cambio (ex UIC)</t>
        </is>
      </c>
    </row>
    <row r="49">
      <c r="A49" s="2" t="n">
        <v>45719</v>
      </c>
      <c r="B49" t="n">
        <v>1.0465</v>
      </c>
      <c r="C49" t="inlineStr">
        <is>
          <t>Banca d'Italia - tassi di cambio (ex UIC)</t>
        </is>
      </c>
    </row>
    <row r="50">
      <c r="A50" s="2" t="n">
        <v>45720</v>
      </c>
      <c r="B50" t="n">
        <v>1.0557</v>
      </c>
      <c r="C50" t="inlineStr">
        <is>
          <t>Banca d'Italia - tassi di cambio (ex UIC)</t>
        </is>
      </c>
    </row>
    <row r="51">
      <c r="A51" s="2" t="n">
        <v>45721</v>
      </c>
      <c r="B51" t="n">
        <v>1.0694</v>
      </c>
      <c r="C51" t="inlineStr">
        <is>
          <t>Banca d'Italia - tassi di cambio (ex UIC)</t>
        </is>
      </c>
    </row>
    <row r="52">
      <c r="A52" s="2" t="n">
        <v>45722</v>
      </c>
      <c r="B52" t="n">
        <v>1.0796</v>
      </c>
      <c r="C52" t="inlineStr">
        <is>
          <t>Banca d'Italia - tassi di cambio (ex UIC)</t>
        </is>
      </c>
    </row>
    <row r="53">
      <c r="A53" s="2" t="n">
        <v>45723</v>
      </c>
      <c r="B53" t="n">
        <v>1.0857</v>
      </c>
      <c r="C53" t="inlineStr">
        <is>
          <t>Banca d'Italia - tassi di cambio (ex UIC)</t>
        </is>
      </c>
    </row>
    <row r="54">
      <c r="A54" s="2" t="n">
        <v>45726</v>
      </c>
      <c r="B54" t="n">
        <v>1.0845</v>
      </c>
      <c r="C54" t="inlineStr">
        <is>
          <t>Banca d'Italia - tassi di cambio (ex UIC)</t>
        </is>
      </c>
    </row>
    <row r="55">
      <c r="A55" s="2" t="n">
        <v>45727</v>
      </c>
      <c r="B55" t="n">
        <v>1.0912</v>
      </c>
      <c r="C55" t="inlineStr">
        <is>
          <t>Banca d'Italia - tassi di cambio (ex UIC)</t>
        </is>
      </c>
    </row>
    <row r="56">
      <c r="A56" s="2" t="n">
        <v>45728</v>
      </c>
      <c r="B56" t="n">
        <v>1.0886</v>
      </c>
      <c r="C56" t="inlineStr">
        <is>
          <t>Banca d'Italia - tassi di cambio (ex UIC)</t>
        </is>
      </c>
    </row>
    <row r="57">
      <c r="A57" s="2" t="n">
        <v>45729</v>
      </c>
      <c r="B57" t="n">
        <v>1.083</v>
      </c>
      <c r="C57" t="inlineStr">
        <is>
          <t>Banca d'Italia - tassi di cambio (ex UIC)</t>
        </is>
      </c>
    </row>
    <row r="58">
      <c r="A58" s="2" t="n">
        <v>45730</v>
      </c>
      <c r="B58" t="n">
        <v>1.0889</v>
      </c>
      <c r="C58" t="inlineStr">
        <is>
          <t>Banca d'Italia - tassi di cambio (ex UIC)</t>
        </is>
      </c>
    </row>
    <row r="59">
      <c r="A59" s="2" t="n">
        <v>45733</v>
      </c>
      <c r="B59" t="n">
        <v>1.0903</v>
      </c>
      <c r="C59" t="inlineStr">
        <is>
          <t>Banca d'Italia - tassi di cambio (ex UIC)</t>
        </is>
      </c>
    </row>
    <row r="60">
      <c r="A60" s="2" t="n">
        <v>45734</v>
      </c>
      <c r="B60" t="n">
        <v>1.0918</v>
      </c>
      <c r="C60" t="inlineStr">
        <is>
          <t>Banca d'Italia - tassi di cambio (ex UIC)</t>
        </is>
      </c>
    </row>
    <row r="61">
      <c r="A61" s="2" t="n">
        <v>45735</v>
      </c>
      <c r="B61" t="n">
        <v>1.0897</v>
      </c>
      <c r="C61" t="inlineStr">
        <is>
          <t>Banca d'Italia - tassi di cambio (ex UIC)</t>
        </is>
      </c>
    </row>
    <row r="62">
      <c r="A62" s="2" t="n">
        <v>45736</v>
      </c>
      <c r="B62" t="n">
        <v>1.0833</v>
      </c>
      <c r="C62" t="inlineStr">
        <is>
          <t>Banca d'Italia - tassi di cambio (ex UIC)</t>
        </is>
      </c>
    </row>
    <row r="63">
      <c r="A63" s="2" t="n">
        <v>45737</v>
      </c>
      <c r="B63" t="n">
        <v>1.0827</v>
      </c>
      <c r="C63" t="inlineStr">
        <is>
          <t>Banca d'Italia - tassi di cambio (ex UIC)</t>
        </is>
      </c>
    </row>
    <row r="64">
      <c r="A64" s="2" t="n">
        <v>45740</v>
      </c>
      <c r="B64" t="n">
        <v>1.0824</v>
      </c>
      <c r="C64" t="inlineStr">
        <is>
          <t>Banca d'Italia - tassi di cambio (ex UIC)</t>
        </is>
      </c>
    </row>
    <row r="65">
      <c r="A65" s="2" t="n">
        <v>45741</v>
      </c>
      <c r="B65" t="n">
        <v>1.0825</v>
      </c>
      <c r="C65" t="inlineStr">
        <is>
          <t>Banca d'Italia - tassi di cambio (ex UIC)</t>
        </is>
      </c>
    </row>
    <row r="66">
      <c r="A66" s="2" t="n">
        <v>45742</v>
      </c>
      <c r="B66" t="n">
        <v>1.0788</v>
      </c>
      <c r="C66" t="inlineStr">
        <is>
          <t>Banca d'Italia - tassi di cambio (ex UIC)</t>
        </is>
      </c>
    </row>
    <row r="67">
      <c r="A67" s="2" t="n">
        <v>45743</v>
      </c>
      <c r="B67" t="n">
        <v>1.0785</v>
      </c>
      <c r="C67" t="inlineStr">
        <is>
          <t>Banca d'Italia - tassi di cambio (ex UIC)</t>
        </is>
      </c>
    </row>
    <row r="68">
      <c r="A68" s="2" t="n">
        <v>45744</v>
      </c>
      <c r="B68" t="n">
        <v>1.0797</v>
      </c>
      <c r="C68" t="inlineStr">
        <is>
          <t>Banca d'Italia - tassi di cambio (ex UIC)</t>
        </is>
      </c>
    </row>
    <row r="69">
      <c r="A69" s="2" t="n">
        <v>45747</v>
      </c>
      <c r="B69" t="n">
        <v>1.0815</v>
      </c>
      <c r="C69" t="inlineStr">
        <is>
          <t>Banca d'Italia - tassi di cambio (ex UIC)</t>
        </is>
      </c>
    </row>
    <row r="70">
      <c r="A70" s="2" t="n">
        <v>45748</v>
      </c>
      <c r="B70" t="n">
        <v>1.0788</v>
      </c>
      <c r="C70" t="inlineStr">
        <is>
          <t>Banca d'Italia - tassi di cambio (ex UIC)</t>
        </is>
      </c>
    </row>
    <row r="71">
      <c r="A71" s="2" t="n">
        <v>45749</v>
      </c>
      <c r="B71" t="n">
        <v>1.0803</v>
      </c>
      <c r="C71" t="inlineStr">
        <is>
          <t>Banca d'Italia - tassi di cambio (ex UIC)</t>
        </is>
      </c>
    </row>
    <row r="72">
      <c r="A72" s="2" t="n">
        <v>45750</v>
      </c>
      <c r="B72" t="n">
        <v>1.1097</v>
      </c>
      <c r="C72" t="inlineStr">
        <is>
          <t>Banca d'Italia - tassi di cambio (ex UIC)</t>
        </is>
      </c>
    </row>
    <row r="73">
      <c r="A73" s="2" t="n">
        <v>45751</v>
      </c>
      <c r="B73" t="n">
        <v>1.1057</v>
      </c>
      <c r="C73" t="inlineStr">
        <is>
          <t>Banca d'Italia - tassi di cambio (ex UIC)</t>
        </is>
      </c>
    </row>
    <row r="74">
      <c r="A74" s="2" t="n">
        <v>45754</v>
      </c>
      <c r="B74" t="n">
        <v>1.0967</v>
      </c>
      <c r="C74" t="inlineStr">
        <is>
          <t>Banca d'Italia - tassi di cambio (ex UIC)</t>
        </is>
      </c>
    </row>
    <row r="75">
      <c r="A75" s="2" t="n">
        <v>45755</v>
      </c>
      <c r="B75" t="n">
        <v>1.095</v>
      </c>
      <c r="C75" t="inlineStr">
        <is>
          <t>Banca d'Italia - tassi di cambio (ex UIC)</t>
        </is>
      </c>
    </row>
    <row r="76">
      <c r="A76" s="2" t="n">
        <v>45756</v>
      </c>
      <c r="B76" t="n">
        <v>1.1045</v>
      </c>
      <c r="C76" t="inlineStr">
        <is>
          <t>Banca d'Italia - tassi di cambio (ex UIC)</t>
        </is>
      </c>
    </row>
    <row r="77">
      <c r="A77" s="2" t="n">
        <v>45757</v>
      </c>
      <c r="B77" t="n">
        <v>1.1082</v>
      </c>
      <c r="C77" t="inlineStr">
        <is>
          <t>Banca d'Italia - tassi di cambio (ex UIC)</t>
        </is>
      </c>
    </row>
    <row r="78">
      <c r="A78" s="2" t="n">
        <v>45758</v>
      </c>
      <c r="B78" t="n">
        <v>1.1346</v>
      </c>
      <c r="C78" t="inlineStr">
        <is>
          <t>Banca d'Italia - tassi di cambio (ex UIC)</t>
        </is>
      </c>
    </row>
    <row r="79">
      <c r="A79" s="2" t="n">
        <v>45761</v>
      </c>
      <c r="B79" t="n">
        <v>1.1377</v>
      </c>
      <c r="C79" t="inlineStr">
        <is>
          <t>Banca d'Italia - tassi di cambio (ex UIC)</t>
        </is>
      </c>
    </row>
    <row r="80">
      <c r="A80" s="2" t="n">
        <v>45762</v>
      </c>
      <c r="B80" t="n">
        <v>1.1324</v>
      </c>
      <c r="C80" t="inlineStr">
        <is>
          <t>Banca d'Italia - tassi di cambio (ex UIC)</t>
        </is>
      </c>
    </row>
    <row r="81">
      <c r="A81" s="2" t="n">
        <v>45763</v>
      </c>
      <c r="B81" t="n">
        <v>1.1355</v>
      </c>
      <c r="C81" t="inlineStr">
        <is>
          <t>Banca d'Italia - tassi di cambio (ex UIC)</t>
        </is>
      </c>
    </row>
    <row r="82">
      <c r="A82" s="2" t="n">
        <v>45764</v>
      </c>
      <c r="B82" t="n">
        <v>1.136</v>
      </c>
      <c r="C82" t="inlineStr">
        <is>
          <t>Banca d'Italia - tassi di cambio (ex UIC)</t>
        </is>
      </c>
    </row>
    <row r="83">
      <c r="A83" s="2" t="n">
        <v>45769</v>
      </c>
      <c r="B83" t="n">
        <v>1.1476</v>
      </c>
      <c r="C83" t="inlineStr">
        <is>
          <t>Banca d'Italia - tassi di cambio (ex UIC)</t>
        </is>
      </c>
    </row>
    <row r="84">
      <c r="A84" s="2" t="n">
        <v>45770</v>
      </c>
      <c r="B84" t="n">
        <v>1.1415</v>
      </c>
      <c r="C84" t="inlineStr">
        <is>
          <t>Banca d'Italia - tassi di cambio (ex UIC)</t>
        </is>
      </c>
    </row>
    <row r="85">
      <c r="A85" s="2" t="n">
        <v>45771</v>
      </c>
      <c r="B85" t="n">
        <v>1.1376</v>
      </c>
      <c r="C85" t="inlineStr">
        <is>
          <t>Banca d'Italia - tassi di cambio (ex UIC)</t>
        </is>
      </c>
    </row>
    <row r="86">
      <c r="A86" s="2" t="n">
        <v>45772</v>
      </c>
      <c r="B86" t="n">
        <v>1.1357</v>
      </c>
      <c r="C86" t="inlineStr">
        <is>
          <t>Banca d'Italia - tassi di cambio (ex UIC)</t>
        </is>
      </c>
    </row>
    <row r="87">
      <c r="A87" s="2" t="n">
        <v>45775</v>
      </c>
      <c r="B87" t="n">
        <v>1.1358</v>
      </c>
      <c r="C87" t="inlineStr">
        <is>
          <t>Banca d'Italia - tassi di cambio (ex UIC)</t>
        </is>
      </c>
    </row>
    <row r="88">
      <c r="A88" s="2" t="n">
        <v>45776</v>
      </c>
      <c r="B88" t="n">
        <v>1.1373</v>
      </c>
      <c r="C88" t="inlineStr">
        <is>
          <t>Banca d'Italia - tassi di cambio (ex UIC)</t>
        </is>
      </c>
    </row>
    <row r="89">
      <c r="A89" s="2" t="n">
        <v>45777</v>
      </c>
      <c r="B89" t="n">
        <v>1.1373</v>
      </c>
      <c r="C89" t="inlineStr">
        <is>
          <t>Banca d'Italia - tassi di cambio (ex UIC)</t>
        </is>
      </c>
    </row>
    <row r="90">
      <c r="A90" s="2" t="n">
        <v>45779</v>
      </c>
      <c r="B90" t="n">
        <v>1.1343</v>
      </c>
      <c r="C90" t="inlineStr">
        <is>
          <t>Banca d'Italia - tassi di cambio (ex UIC)</t>
        </is>
      </c>
    </row>
    <row r="91">
      <c r="A91" s="2" t="n">
        <v>45782</v>
      </c>
      <c r="B91" t="n">
        <v>1.1343</v>
      </c>
      <c r="C91" t="inlineStr">
        <is>
          <t>Banca d'Italia - tassi di cambio (ex UIC)</t>
        </is>
      </c>
    </row>
    <row r="92">
      <c r="A92" s="2" t="n">
        <v>45783</v>
      </c>
      <c r="B92" t="n">
        <v>1.1325</v>
      </c>
      <c r="C92" t="inlineStr">
        <is>
          <t>Banca d'Italia - tassi di cambio (ex UIC)</t>
        </is>
      </c>
    </row>
    <row r="93">
      <c r="A93" s="2" t="n">
        <v>45784</v>
      </c>
      <c r="B93" t="n">
        <v>1.136</v>
      </c>
      <c r="C93" t="inlineStr">
        <is>
          <t>Banca d'Italia - tassi di cambio (ex UIC)</t>
        </is>
      </c>
    </row>
    <row r="94">
      <c r="A94" s="2" t="n">
        <v>45785</v>
      </c>
      <c r="B94" t="n">
        <v>1.1297</v>
      </c>
      <c r="C94" t="inlineStr">
        <is>
          <t>Banca d'Italia - tassi di cambio (ex UIC)</t>
        </is>
      </c>
    </row>
    <row r="95">
      <c r="A95" s="2" t="n">
        <v>45786</v>
      </c>
      <c r="B95" t="n">
        <v>1.1252</v>
      </c>
      <c r="C95" t="inlineStr">
        <is>
          <t>Banca d'Italia - tassi di cambio (ex UIC)</t>
        </is>
      </c>
    </row>
    <row r="96">
      <c r="A96" s="2" t="n">
        <v>45789</v>
      </c>
      <c r="B96" t="n">
        <v>1.1106</v>
      </c>
      <c r="C96" t="inlineStr">
        <is>
          <t>Banca d'Italia - tassi di cambio (ex UIC)</t>
        </is>
      </c>
    </row>
    <row r="97">
      <c r="A97" s="2" t="n">
        <v>45790</v>
      </c>
      <c r="B97" t="n">
        <v>1.1112</v>
      </c>
      <c r="C97" t="inlineStr">
        <is>
          <t>Banca d'Italia - tassi di cambio (ex UIC)</t>
        </is>
      </c>
    </row>
    <row r="98">
      <c r="A98" s="2" t="n">
        <v>45791</v>
      </c>
      <c r="B98" t="n">
        <v>1.1214</v>
      </c>
      <c r="C98" t="inlineStr">
        <is>
          <t>Banca d'Italia - tassi di cambio (ex UIC)</t>
        </is>
      </c>
    </row>
    <row r="99">
      <c r="A99" s="2" t="n">
        <v>45792</v>
      </c>
      <c r="B99" t="n">
        <v>1.1185</v>
      </c>
      <c r="C99" t="inlineStr">
        <is>
          <t>Banca d'Italia - tassi di cambio (ex UIC)</t>
        </is>
      </c>
    </row>
    <row r="100">
      <c r="A100" s="2" t="n">
        <v>45793</v>
      </c>
      <c r="B100" t="n">
        <v>1.1194</v>
      </c>
      <c r="C100" t="inlineStr">
        <is>
          <t>Banca d'Italia - tassi di cambio (ex UIC)</t>
        </is>
      </c>
    </row>
    <row r="101">
      <c r="A101" s="2" t="n">
        <v>45796</v>
      </c>
      <c r="B101" t="n">
        <v>1.1262</v>
      </c>
      <c r="C101" t="inlineStr">
        <is>
          <t>Banca d'Italia - tassi di cambio (ex UIC)</t>
        </is>
      </c>
    </row>
    <row r="102">
      <c r="A102" s="2" t="n">
        <v>45797</v>
      </c>
      <c r="B102" t="n">
        <v>1.1241</v>
      </c>
      <c r="C102" t="inlineStr">
        <is>
          <t>Banca d'Italia - tassi di cambio (ex UIC)</t>
        </is>
      </c>
    </row>
    <row r="103">
      <c r="A103" s="2" t="n">
        <v>45798</v>
      </c>
      <c r="B103" t="n">
        <v>1.1321</v>
      </c>
      <c r="C103" t="inlineStr">
        <is>
          <t>Banca d'Italia - tassi di cambio (ex UIC)</t>
        </is>
      </c>
    </row>
    <row r="104">
      <c r="A104" s="2" t="n">
        <v>45799</v>
      </c>
      <c r="B104" t="n">
        <v>1.1309</v>
      </c>
      <c r="C104" t="inlineStr">
        <is>
          <t>Banca d'Italia - tassi di cambio (ex UIC)</t>
        </is>
      </c>
    </row>
    <row r="105">
      <c r="A105" s="2" t="n">
        <v>45800</v>
      </c>
      <c r="B105" t="n">
        <v>1.1301</v>
      </c>
      <c r="C105" t="inlineStr">
        <is>
          <t>Banca d'Italia - tassi di cambio (ex UIC)</t>
        </is>
      </c>
    </row>
    <row r="106">
      <c r="A106" s="2" t="n">
        <v>45803</v>
      </c>
      <c r="B106" t="n">
        <v>1.1381</v>
      </c>
      <c r="C106" t="inlineStr">
        <is>
          <t>Banca d'Italia - tassi di cambio (ex UIC)</t>
        </is>
      </c>
    </row>
    <row r="107">
      <c r="A107" s="2" t="n">
        <v>45804</v>
      </c>
      <c r="B107" t="n">
        <v>1.1356</v>
      </c>
      <c r="C107" t="inlineStr">
        <is>
          <t>Banca d'Italia - tassi di cambio (ex UIC)</t>
        </is>
      </c>
    </row>
    <row r="108">
      <c r="A108" s="2" t="n">
        <v>45805</v>
      </c>
      <c r="B108" t="n">
        <v>1.1317</v>
      </c>
      <c r="C108" t="inlineStr">
        <is>
          <t>Banca d'Italia - tassi di cambio (ex UIC)</t>
        </is>
      </c>
    </row>
    <row r="109">
      <c r="A109" s="2" t="n">
        <v>45806</v>
      </c>
      <c r="B109" t="n">
        <v>1.1281</v>
      </c>
      <c r="C109" t="inlineStr">
        <is>
          <t>Banca d'Italia - tassi di cambio (ex UIC)</t>
        </is>
      </c>
    </row>
    <row r="110">
      <c r="A110" s="2" t="n">
        <v>45807</v>
      </c>
      <c r="B110" t="n">
        <v>1.1339</v>
      </c>
      <c r="C110" t="inlineStr">
        <is>
          <t>Banca d'Italia - tassi di cambio (ex UIC)</t>
        </is>
      </c>
    </row>
    <row r="111">
      <c r="A111" s="2" t="n">
        <v>45810</v>
      </c>
      <c r="B111" t="n">
        <v>1.1419</v>
      </c>
      <c r="C111" t="inlineStr">
        <is>
          <t>Banca d'Italia - tassi di cambio (ex UIC)</t>
        </is>
      </c>
    </row>
    <row r="112">
      <c r="A112" s="2" t="n">
        <v>45811</v>
      </c>
      <c r="B112" t="n">
        <v>1.1386</v>
      </c>
      <c r="C112" t="inlineStr">
        <is>
          <t>Banca d'Italia - tassi di cambio (ex UIC)</t>
        </is>
      </c>
    </row>
    <row r="113">
      <c r="A113" s="2" t="n">
        <v>45812</v>
      </c>
      <c r="B113" t="n">
        <v>1.1384</v>
      </c>
      <c r="C113" t="inlineStr">
        <is>
          <t>Banca d'Italia - tassi di cambio (ex UIC)</t>
        </is>
      </c>
    </row>
    <row r="114">
      <c r="A114" s="2" t="n">
        <v>45813</v>
      </c>
      <c r="B114" t="n">
        <v>1.1423</v>
      </c>
      <c r="C114" t="inlineStr">
        <is>
          <t>Banca d'Italia - tassi di cambio (ex UIC)</t>
        </is>
      </c>
    </row>
    <row r="115">
      <c r="A115" s="2" t="n">
        <v>45814</v>
      </c>
      <c r="B115" t="n">
        <v>1.1411</v>
      </c>
      <c r="C115" t="inlineStr">
        <is>
          <t>Banca d'Italia - tassi di cambio (ex UIC)</t>
        </is>
      </c>
    </row>
    <row r="116">
      <c r="A116" s="2" t="n">
        <v>45817</v>
      </c>
      <c r="B116" t="n">
        <v>1.141</v>
      </c>
      <c r="C116" t="inlineStr">
        <is>
          <t>Banca d'Italia - tassi di cambio (ex UIC)</t>
        </is>
      </c>
    </row>
    <row r="117">
      <c r="A117" s="2" t="n">
        <v>45818</v>
      </c>
      <c r="B117" t="n">
        <v>1.1429</v>
      </c>
      <c r="C117" t="inlineStr">
        <is>
          <t>Banca d'Italia - tassi di cambio (ex UIC)</t>
        </is>
      </c>
    </row>
    <row r="118">
      <c r="A118" s="2" t="n">
        <v>45819</v>
      </c>
      <c r="B118" t="n">
        <v>1.1433</v>
      </c>
      <c r="C118" t="inlineStr">
        <is>
          <t>Banca d'Italia - tassi di cambio (ex UIC)</t>
        </is>
      </c>
    </row>
    <row r="119">
      <c r="A119" s="2" t="n">
        <v>45820</v>
      </c>
      <c r="B119" t="n">
        <v>1.1594</v>
      </c>
      <c r="C119" t="inlineStr">
        <is>
          <t>Banca d'Italia - tassi di cambio (ex UIC)</t>
        </is>
      </c>
    </row>
    <row r="120">
      <c r="A120" s="2" t="n">
        <v>45821</v>
      </c>
      <c r="B120" t="n">
        <v>1.1512</v>
      </c>
      <c r="C120" t="inlineStr">
        <is>
          <t>Banca d'Italia - tassi di cambio (ex UIC)</t>
        </is>
      </c>
    </row>
    <row r="121">
      <c r="A121" s="2" t="n">
        <v>45824</v>
      </c>
      <c r="B121" t="n">
        <v>1.1574</v>
      </c>
      <c r="C121" t="inlineStr">
        <is>
          <t>Banca d'Italia - tassi di cambio (ex UIC)</t>
        </is>
      </c>
    </row>
    <row r="122">
      <c r="A122" s="2" t="n">
        <v>45825</v>
      </c>
      <c r="B122" t="n">
        <v>1.1568</v>
      </c>
      <c r="C122" t="inlineStr">
        <is>
          <t>Banca d'Italia - tassi di cambio (ex UIC)</t>
        </is>
      </c>
    </row>
    <row r="123">
      <c r="A123" s="2" t="n">
        <v>45826</v>
      </c>
      <c r="B123" t="n">
        <v>1.1508</v>
      </c>
      <c r="C123" t="inlineStr">
        <is>
          <t>Banca d'Italia - tassi di cambio (ex UIC)</t>
        </is>
      </c>
    </row>
    <row r="124">
      <c r="A124" s="2" t="n">
        <v>45827</v>
      </c>
      <c r="B124" t="n">
        <v>1.1478</v>
      </c>
      <c r="C124" t="inlineStr">
        <is>
          <t>Banca d'Italia - tassi di cambio (ex UIC)</t>
        </is>
      </c>
    </row>
    <row r="125">
      <c r="A125" s="2" t="n">
        <v>45828</v>
      </c>
      <c r="B125" t="n">
        <v>1.1515</v>
      </c>
      <c r="C125" t="inlineStr">
        <is>
          <t>Banca d'Italia - tassi di cambio (ex UIC)</t>
        </is>
      </c>
    </row>
    <row r="126">
      <c r="A126" s="2" t="n">
        <v>45831</v>
      </c>
      <c r="B126" t="n">
        <v>1.1472</v>
      </c>
      <c r="C126" t="inlineStr">
        <is>
          <t>Banca d'Italia - tassi di cambio (ex UIC)</t>
        </is>
      </c>
    </row>
    <row r="127">
      <c r="A127" s="2" t="n">
        <v>45832</v>
      </c>
      <c r="B127" t="n">
        <v>1.1607</v>
      </c>
      <c r="C127" t="inlineStr">
        <is>
          <t>Banca d'Italia - tassi di cambio (ex UIC)</t>
        </is>
      </c>
    </row>
    <row r="128">
      <c r="A128" s="2" t="n">
        <v>45833</v>
      </c>
      <c r="B128" t="n">
        <v>1.1598</v>
      </c>
      <c r="C128" t="inlineStr">
        <is>
          <t>Banca d'Italia - tassi di cambio (ex UIC)</t>
        </is>
      </c>
    </row>
    <row r="129">
      <c r="A129" s="2" t="n">
        <v>45834</v>
      </c>
      <c r="B129" t="n">
        <v>1.1695</v>
      </c>
      <c r="C129" t="inlineStr">
        <is>
          <t>Banca d'Italia - tassi di cambio (ex UIC)</t>
        </is>
      </c>
    </row>
    <row r="130">
      <c r="A130" s="2" t="n">
        <v>45835</v>
      </c>
      <c r="B130" t="n">
        <v>1.1704</v>
      </c>
      <c r="C130" t="inlineStr">
        <is>
          <t>Banca d'Italia - tassi di cambio (ex UIC)</t>
        </is>
      </c>
    </row>
    <row r="131">
      <c r="A131" s="2" t="n">
        <v>45838</v>
      </c>
      <c r="B131" t="n">
        <v>1.172</v>
      </c>
      <c r="C131" t="inlineStr">
        <is>
          <t>Banca d'Italia - tassi di cambio (ex UIC)</t>
        </is>
      </c>
    </row>
    <row r="132">
      <c r="A132" s="2" t="n">
        <v>45839</v>
      </c>
      <c r="B132" t="n">
        <v>1.181</v>
      </c>
      <c r="C132" t="inlineStr">
        <is>
          <t>Banca d'Italia - tassi di cambio (ex UIC)</t>
        </is>
      </c>
    </row>
    <row r="133">
      <c r="A133" s="2" t="n">
        <v>45840</v>
      </c>
      <c r="B133" t="n">
        <v>1.1755</v>
      </c>
      <c r="C133" t="inlineStr">
        <is>
          <t>Banca d'Italia - tassi di cambio (ex UIC)</t>
        </is>
      </c>
    </row>
    <row r="134">
      <c r="A134" s="2" t="n">
        <v>45841</v>
      </c>
      <c r="B134" t="n">
        <v>1.1782</v>
      </c>
      <c r="C134" t="inlineStr">
        <is>
          <t>Banca d'Italia - tassi di cambio (ex UIC)</t>
        </is>
      </c>
    </row>
    <row r="135">
      <c r="A135" s="2" t="n">
        <v>45842</v>
      </c>
      <c r="B135" t="n">
        <v>1.1767</v>
      </c>
      <c r="C135" t="inlineStr">
        <is>
          <t>Banca d'Italia - tassi di cambio (ex UIC)</t>
        </is>
      </c>
    </row>
    <row r="136">
      <c r="A136" s="2" t="n">
        <v>45845</v>
      </c>
      <c r="B136" t="n">
        <v>1.1728</v>
      </c>
      <c r="C136" t="inlineStr">
        <is>
          <t>Banca d'Italia - tassi di cambio (ex UIC)</t>
        </is>
      </c>
    </row>
    <row r="137">
      <c r="A137" s="2" t="n">
        <v>45846</v>
      </c>
      <c r="B137" t="n">
        <v>1.1718</v>
      </c>
      <c r="C137" t="inlineStr">
        <is>
          <t>Banca d'Italia - tassi di cambio (ex UIC)</t>
        </is>
      </c>
    </row>
    <row r="138">
      <c r="A138" s="2" t="n">
        <v>45847</v>
      </c>
      <c r="B138" t="n">
        <v>1.1698</v>
      </c>
      <c r="C138" t="inlineStr">
        <is>
          <t>Banca d'Italia - tassi di cambio (ex UIC)</t>
        </is>
      </c>
    </row>
    <row r="139">
      <c r="A139" s="2" t="n">
        <v>45848</v>
      </c>
      <c r="B139" t="n">
        <v>1.1709</v>
      </c>
      <c r="C139" t="inlineStr">
        <is>
          <t>Banca d'Italia - tassi di cambio (ex UIC)</t>
        </is>
      </c>
    </row>
    <row r="140">
      <c r="A140" s="2" t="n">
        <v>45849</v>
      </c>
      <c r="B140" t="n">
        <v>1.1683</v>
      </c>
      <c r="C140" t="inlineStr">
        <is>
          <t>Banca d'Italia - tassi di cambio (ex UIC)</t>
        </is>
      </c>
    </row>
    <row r="141">
      <c r="A141" s="2" t="n">
        <v>45852</v>
      </c>
      <c r="B141" t="n">
        <v>1.169</v>
      </c>
      <c r="C141" t="inlineStr">
        <is>
          <t>Banca d'Italia - tassi di cambio (ex UIC)</t>
        </is>
      </c>
    </row>
    <row r="142">
      <c r="A142" s="2" t="n">
        <v>45853</v>
      </c>
      <c r="B142" t="n">
        <v>1.1665</v>
      </c>
      <c r="C142" t="inlineStr">
        <is>
          <t>Banca d'Italia - tassi di cambio (ex UIC)</t>
        </is>
      </c>
    </row>
    <row r="143">
      <c r="A143" s="2" t="n">
        <v>45854</v>
      </c>
      <c r="B143" t="n">
        <v>1.1602</v>
      </c>
      <c r="C143" t="inlineStr">
        <is>
          <t>Banca d'Italia - tassi di cambio (ex UIC)</t>
        </is>
      </c>
    </row>
    <row r="144">
      <c r="A144" s="2" t="n">
        <v>45855</v>
      </c>
      <c r="B144" t="n">
        <v>1.1579</v>
      </c>
      <c r="C144" t="inlineStr">
        <is>
          <t>Banca d'Italia - tassi di cambio (ex UIC)</t>
        </is>
      </c>
    </row>
    <row r="145">
      <c r="A145" s="2" t="n">
        <v>45856</v>
      </c>
      <c r="B145" t="n">
        <v>1.165</v>
      </c>
      <c r="C145" t="inlineStr">
        <is>
          <t>Banca d'Italia - tassi di cambio (ex UIC)</t>
        </is>
      </c>
    </row>
    <row r="146">
      <c r="A146" s="2" t="n">
        <v>45859</v>
      </c>
      <c r="B146" t="n">
        <v>1.1667</v>
      </c>
      <c r="C146" t="inlineStr">
        <is>
          <t>Banca d'Italia - tassi di cambio (ex UIC)</t>
        </is>
      </c>
    </row>
    <row r="147">
      <c r="A147" s="2" t="n">
        <v>45860</v>
      </c>
      <c r="B147" t="n">
        <v>1.1699</v>
      </c>
      <c r="C147" t="inlineStr">
        <is>
          <t>Banca d'Italia - tassi di cambio (ex UIC)</t>
        </is>
      </c>
    </row>
    <row r="148">
      <c r="A148" s="2" t="n">
        <v>45861</v>
      </c>
      <c r="B148" t="n">
        <v>1.1726</v>
      </c>
      <c r="C148" t="inlineStr">
        <is>
          <t>Banca d'Italia - tassi di cambio (ex UIC)</t>
        </is>
      </c>
    </row>
    <row r="149">
      <c r="A149" s="2" t="n">
        <v>45862</v>
      </c>
      <c r="B149" t="n">
        <v>1.1756</v>
      </c>
      <c r="C149" t="inlineStr">
        <is>
          <t>Banca d'Italia - tassi di cambio (ex UIC)</t>
        </is>
      </c>
    </row>
    <row r="150">
      <c r="A150" s="2" t="n">
        <v>45863</v>
      </c>
      <c r="B150" t="n">
        <v>1.1724</v>
      </c>
      <c r="C150" t="inlineStr">
        <is>
          <t>Banca d'Italia - tassi di cambio (ex UIC)</t>
        </is>
      </c>
    </row>
    <row r="151">
      <c r="A151" s="2" t="n">
        <v>45866</v>
      </c>
      <c r="B151" t="n">
        <v>1.1654</v>
      </c>
      <c r="C151" t="inlineStr">
        <is>
          <t>Banca d'Italia - tassi di cambio (ex UIC)</t>
        </is>
      </c>
    </row>
    <row r="152">
      <c r="A152" s="2" t="n">
        <v>45867</v>
      </c>
      <c r="B152" t="n">
        <v>1.1533</v>
      </c>
      <c r="C152" t="inlineStr">
        <is>
          <t>Banca d'Italia - tassi di cambio (ex UIC)</t>
        </is>
      </c>
    </row>
    <row r="153">
      <c r="A153" s="2" t="n">
        <v>45868</v>
      </c>
      <c r="B153" t="n">
        <v>1.1527</v>
      </c>
      <c r="C153" t="inlineStr">
        <is>
          <t>Banca d'Italia - tassi di cambio (ex UIC)</t>
        </is>
      </c>
    </row>
    <row r="154">
      <c r="A154" s="2" t="n">
        <v>45869</v>
      </c>
      <c r="B154" t="n">
        <v>1.1446</v>
      </c>
      <c r="C154" t="inlineStr">
        <is>
          <t>Banca d'Italia - tassi di cambio (ex UIC)</t>
        </is>
      </c>
    </row>
    <row r="155">
      <c r="A155" s="2" t="n">
        <v>45870</v>
      </c>
      <c r="B155" t="n">
        <v>1.1404</v>
      </c>
      <c r="C155" t="inlineStr">
        <is>
          <t>Banca d'Italia - tassi di cambio (ex UIC)</t>
        </is>
      </c>
    </row>
    <row r="156">
      <c r="A156" s="2" t="n">
        <v>45873</v>
      </c>
      <c r="B156" t="n">
        <v>1.1565</v>
      </c>
      <c r="C156" t="inlineStr">
        <is>
          <t>Banca d'Italia - tassi di cambio (ex UIC)</t>
        </is>
      </c>
    </row>
    <row r="157">
      <c r="A157" s="2" t="n">
        <v>45874</v>
      </c>
      <c r="B157" t="n">
        <v>1.1546</v>
      </c>
      <c r="C157" t="inlineStr">
        <is>
          <t>Banca d'Italia - tassi di cambio (ex UIC)</t>
        </is>
      </c>
    </row>
    <row r="158">
      <c r="A158" s="2" t="n">
        <v>45875</v>
      </c>
      <c r="B158" t="n">
        <v>1.1604</v>
      </c>
      <c r="C158" t="inlineStr">
        <is>
          <t>Banca d'Italia - tassi di cambio (ex UIC)</t>
        </is>
      </c>
    </row>
    <row r="159">
      <c r="A159" s="2" t="n">
        <v>45876</v>
      </c>
      <c r="B159" t="n">
        <v>1.1643</v>
      </c>
      <c r="C159" t="inlineStr">
        <is>
          <t>Banca d'Italia - tassi di cambio (ex UIC)</t>
        </is>
      </c>
    </row>
    <row r="160">
      <c r="A160" s="2" t="n">
        <v>45877</v>
      </c>
      <c r="B160" t="n">
        <v>1.1648</v>
      </c>
      <c r="C160" t="inlineStr">
        <is>
          <t>Banca d'Italia - tassi di cambio (ex UIC)</t>
        </is>
      </c>
    </row>
    <row r="161">
      <c r="A161" s="2" t="n">
        <v>45880</v>
      </c>
      <c r="B161" t="n">
        <v>1.1622</v>
      </c>
      <c r="C161" t="inlineStr">
        <is>
          <t>Banca d'Italia - tassi di cambio (ex UIC)</t>
        </is>
      </c>
    </row>
    <row r="162">
      <c r="A162" s="2" t="n">
        <v>45881</v>
      </c>
      <c r="B162" t="n">
        <v>1.1606</v>
      </c>
      <c r="C162" t="inlineStr">
        <is>
          <t>Banca d'Italia - tassi di cambio (ex UIC)</t>
        </is>
      </c>
    </row>
    <row r="163">
      <c r="A163" s="2" t="n">
        <v>45882</v>
      </c>
      <c r="B163" t="n">
        <v>1.1711</v>
      </c>
      <c r="C163" t="inlineStr">
        <is>
          <t>Banca d'Italia - tassi di cambio (ex UIC)</t>
        </is>
      </c>
    </row>
    <row r="164">
      <c r="A164" s="2" t="n">
        <v>45883</v>
      </c>
      <c r="B164" t="n">
        <v>1.169</v>
      </c>
      <c r="C164" t="inlineStr">
        <is>
          <t>Banca d'Italia - tassi di cambio (ex UIC)</t>
        </is>
      </c>
    </row>
    <row r="165">
      <c r="A165" s="2" t="n">
        <v>45884</v>
      </c>
      <c r="B165" t="n">
        <v>1.1688</v>
      </c>
      <c r="C165" t="inlineStr">
        <is>
          <t>Banca d'Italia - tassi di cambio (ex UIC)</t>
        </is>
      </c>
    </row>
    <row r="166">
      <c r="A166" s="2" t="n">
        <v>45887</v>
      </c>
      <c r="B166" t="n">
        <v>1.1673</v>
      </c>
      <c r="C166" t="inlineStr">
        <is>
          <t>Banca d'Italia - tassi di cambio (ex UIC)</t>
        </is>
      </c>
    </row>
    <row r="167">
      <c r="A167" s="2" t="n">
        <v>45888</v>
      </c>
      <c r="B167" t="n">
        <v>1.1682</v>
      </c>
      <c r="C167" t="inlineStr">
        <is>
          <t>Banca d'Italia - tassi di cambio (ex UIC)</t>
        </is>
      </c>
    </row>
    <row r="168">
      <c r="A168" s="2" t="n">
        <v>45889</v>
      </c>
      <c r="B168" t="n">
        <v>1.1651</v>
      </c>
      <c r="C168" t="inlineStr">
        <is>
          <t>Banca d'Italia - tassi di cambio (ex UIC)</t>
        </is>
      </c>
    </row>
    <row r="169">
      <c r="A169" s="2" t="n">
        <v>45890</v>
      </c>
      <c r="B169" t="n">
        <v>1.1639</v>
      </c>
      <c r="C169" t="inlineStr">
        <is>
          <t>Banca d'Italia - tassi di cambio (ex UIC)</t>
        </is>
      </c>
    </row>
    <row r="170">
      <c r="A170" s="2" t="n">
        <v>45891</v>
      </c>
      <c r="B170" t="n">
        <v>1.1608</v>
      </c>
      <c r="C170" t="inlineStr">
        <is>
          <t>Banca d'Italia - tassi di cambio (ex UIC)</t>
        </is>
      </c>
    </row>
    <row r="171">
      <c r="A171" s="2" t="n">
        <v>45894</v>
      </c>
      <c r="B171" t="n">
        <v>1.1697</v>
      </c>
      <c r="C171" t="inlineStr">
        <is>
          <t>Banca d'Italia - tassi di cambio (ex UIC)</t>
        </is>
      </c>
    </row>
    <row r="172">
      <c r="A172" s="2" t="n">
        <v>45895</v>
      </c>
      <c r="B172" t="n">
        <v>1.1656</v>
      </c>
      <c r="C172" t="inlineStr">
        <is>
          <t>Banca d'Italia - tassi di cambio (ex UIC)</t>
        </is>
      </c>
    </row>
    <row r="173">
      <c r="A173" s="2" t="n">
        <v>45896</v>
      </c>
      <c r="B173" t="n">
        <v>1.1593</v>
      </c>
      <c r="C173" t="inlineStr">
        <is>
          <t>Banca d'Italia - tassi di cambio (ex UIC)</t>
        </is>
      </c>
    </row>
    <row r="174">
      <c r="A174" s="2" t="n">
        <v>45897</v>
      </c>
      <c r="B174" t="n">
        <v>1.1676</v>
      </c>
      <c r="C174" t="inlineStr">
        <is>
          <t>Banca d'Italia - tassi di cambio (ex UIC)</t>
        </is>
      </c>
    </row>
    <row r="175">
      <c r="A175" s="2" t="n">
        <v>45898</v>
      </c>
      <c r="B175" t="n">
        <v>1.1658</v>
      </c>
      <c r="C175" t="inlineStr">
        <is>
          <t>Banca d'Italia - tassi di cambio (ex UIC)</t>
        </is>
      </c>
    </row>
    <row r="176">
      <c r="A176" s="2" t="n">
        <v>45901</v>
      </c>
      <c r="B176" t="n">
        <v>1.1715</v>
      </c>
      <c r="C176" t="inlineStr">
        <is>
          <t>Banca d'Italia - tassi di cambio (ex UIC)</t>
        </is>
      </c>
    </row>
    <row r="177">
      <c r="A177" s="2" t="n">
        <v>45902</v>
      </c>
      <c r="B177" t="n">
        <v>1.1646</v>
      </c>
      <c r="C177" t="inlineStr">
        <is>
          <t>Banca d'Italia - tassi di cambio (ex UIC)</t>
        </is>
      </c>
    </row>
    <row r="178">
      <c r="A178" s="2" t="n">
        <v>45903</v>
      </c>
      <c r="B178" t="n">
        <v>1.1653</v>
      </c>
      <c r="C178" t="inlineStr">
        <is>
          <t>Banca d'Italia - tassi di cambio (ex UIC)</t>
        </is>
      </c>
    </row>
    <row r="179">
      <c r="A179" s="2" t="n">
        <v>45904</v>
      </c>
      <c r="B179" t="n">
        <v>1.1647</v>
      </c>
      <c r="C179" t="inlineStr">
        <is>
          <t>Banca d'Italia - tassi di cambio (ex UIC)</t>
        </is>
      </c>
    </row>
    <row r="180">
      <c r="A180" s="2" t="n">
        <v>45905</v>
      </c>
      <c r="B180" t="n">
        <v>1.1697</v>
      </c>
      <c r="C180" t="inlineStr">
        <is>
          <t>Banca d'Italia - tassi di cambio (ex UIC)</t>
        </is>
      </c>
    </row>
    <row r="181">
      <c r="A181" s="2" t="n">
        <v>45908</v>
      </c>
      <c r="B181" t="n">
        <v>1.1728</v>
      </c>
      <c r="C181" t="inlineStr">
        <is>
          <t>Banca d'Italia - tassi di cambio (ex UIC)</t>
        </is>
      </c>
    </row>
    <row r="182">
      <c r="A182" s="2" t="n">
        <v>45909</v>
      </c>
      <c r="B182" t="n">
        <v>1.1744</v>
      </c>
      <c r="C182" t="inlineStr">
        <is>
          <t>Banca d'Italia - tassi di cambio (ex UIC)</t>
        </is>
      </c>
    </row>
    <row r="183">
      <c r="A183" s="2" t="n">
        <v>45910</v>
      </c>
      <c r="B183" t="n">
        <v>1.1707</v>
      </c>
      <c r="C183" t="inlineStr">
        <is>
          <t>Banca d'Italia - tassi di cambio (ex UIC)</t>
        </is>
      </c>
    </row>
    <row r="184">
      <c r="A184" s="2" t="n">
        <v>45911</v>
      </c>
      <c r="B184" t="n">
        <v>1.1685</v>
      </c>
      <c r="C184" t="inlineStr">
        <is>
          <t>Banca d'Italia - tassi di cambio (ex UIC)</t>
        </is>
      </c>
    </row>
    <row r="185">
      <c r="A185" s="2" t="n">
        <v>45912</v>
      </c>
      <c r="B185" t="n">
        <v>1.1718</v>
      </c>
      <c r="C185" t="inlineStr">
        <is>
          <t>Banca d'Italia - tassi di cambio (ex UIC)</t>
        </is>
      </c>
    </row>
    <row r="186">
      <c r="A186" s="2" t="n">
        <v>45915</v>
      </c>
      <c r="B186" t="n">
        <v>1.1766</v>
      </c>
      <c r="C186" t="inlineStr">
        <is>
          <t>Banca d'Italia - tassi di cambio (ex UIC)</t>
        </is>
      </c>
    </row>
    <row r="187">
      <c r="A187" s="2" t="n">
        <v>45916</v>
      </c>
      <c r="B187" t="n">
        <v>1.1807</v>
      </c>
      <c r="C187" t="inlineStr">
        <is>
          <t>Banca d'Italia - tassi di cambio (ex UIC)</t>
        </is>
      </c>
    </row>
    <row r="188">
      <c r="A188" s="2" t="n">
        <v>45917</v>
      </c>
      <c r="B188" t="n">
        <v>1.1837</v>
      </c>
      <c r="C188" t="inlineStr">
        <is>
          <t>Banca d'Italia - tassi di cambio (ex UIC)</t>
        </is>
      </c>
    </row>
    <row r="189">
      <c r="A189" s="2" t="n">
        <v>45918</v>
      </c>
      <c r="B189" t="n">
        <v>1.1818</v>
      </c>
      <c r="C189" t="inlineStr">
        <is>
          <t>Banca d'Italia - tassi di cambio (ex UIC)</t>
        </is>
      </c>
    </row>
    <row r="190">
      <c r="A190" s="2" t="n">
        <v>45919</v>
      </c>
      <c r="B190" t="n">
        <v>1.1736</v>
      </c>
      <c r="C190" t="inlineStr">
        <is>
          <t>Banca d'Italia - tassi di cambio (ex UIC)</t>
        </is>
      </c>
    </row>
    <row r="191">
      <c r="A191" s="2" t="n">
        <v>45922</v>
      </c>
      <c r="B191" t="n">
        <v>1.1781</v>
      </c>
      <c r="C191" t="inlineStr">
        <is>
          <t>Banca d'Italia - tassi di cambio (ex UIC)</t>
        </is>
      </c>
    </row>
    <row r="192">
      <c r="A192" s="2" t="n">
        <v>45923</v>
      </c>
      <c r="B192" t="n">
        <v>1.1793</v>
      </c>
      <c r="C192" t="inlineStr">
        <is>
          <t>Banca d'Italia - tassi di cambio (ex UIC)</t>
        </is>
      </c>
    </row>
    <row r="193">
      <c r="A193" s="2" t="n">
        <v>45924</v>
      </c>
      <c r="B193" t="n">
        <v>1.1756</v>
      </c>
      <c r="C193" t="inlineStr">
        <is>
          <t>Banca d'Italia - tassi di cambio (ex UIC)</t>
        </is>
      </c>
    </row>
    <row r="194">
      <c r="A194" s="2" t="n">
        <v>45925</v>
      </c>
      <c r="B194" t="n">
        <v>1.1739</v>
      </c>
      <c r="C194" t="inlineStr">
        <is>
          <t>Banca d'Italia - tassi di cambio (ex UIC)</t>
        </is>
      </c>
    </row>
    <row r="195">
      <c r="A195" s="2" t="n">
        <v>45926</v>
      </c>
      <c r="B195" t="n">
        <v>1.1672</v>
      </c>
      <c r="C195" t="inlineStr">
        <is>
          <t>Banca d'Italia - tassi di cambio (ex UIC)</t>
        </is>
      </c>
    </row>
    <row r="196">
      <c r="A196" s="2" t="n">
        <v>45929</v>
      </c>
      <c r="B196" t="n">
        <v>1.1723</v>
      </c>
      <c r="C196" t="inlineStr">
        <is>
          <t>Banca d'Italia - tassi di cambio (ex UIC)</t>
        </is>
      </c>
    </row>
    <row r="197">
      <c r="A197" s="2" t="n">
        <v>45930</v>
      </c>
      <c r="B197" t="n">
        <v>1.1741</v>
      </c>
      <c r="C197" t="inlineStr">
        <is>
          <t>Banca d'Italia - tassi di cambio (ex UIC)</t>
        </is>
      </c>
    </row>
    <row r="198">
      <c r="A198" s="2" t="n">
        <v>45931</v>
      </c>
      <c r="B198" t="n">
        <v>1.1724</v>
      </c>
      <c r="C198" t="inlineStr">
        <is>
          <t>Banca d'Italia - tassi di cambio (ex UIC)</t>
        </is>
      </c>
    </row>
    <row r="199">
      <c r="A199" s="2" t="n">
        <v>45932</v>
      </c>
      <c r="B199" t="n">
        <v>1.1754</v>
      </c>
      <c r="C199" t="inlineStr">
        <is>
          <t>Banca d'Italia - tassi di cambio (ex UIC)</t>
        </is>
      </c>
    </row>
    <row r="200">
      <c r="A200" s="2" t="n">
        <v>45933</v>
      </c>
      <c r="B200" t="n">
        <v>1.1734</v>
      </c>
      <c r="C200" t="inlineStr">
        <is>
          <t>Banca d'Italia - tassi di cambio (ex UIC)</t>
        </is>
      </c>
    </row>
    <row r="201">
      <c r="A201" s="2" t="n">
        <v>45936</v>
      </c>
      <c r="B201" t="n">
        <v>1.1678</v>
      </c>
      <c r="C201" t="inlineStr">
        <is>
          <t>Banca d'Italia - tassi di cambio (ex UIC)</t>
        </is>
      </c>
    </row>
    <row r="202">
      <c r="A202" s="2" t="n">
        <v>45937</v>
      </c>
      <c r="B202" t="n">
        <v>1.1666</v>
      </c>
      <c r="C202" t="inlineStr">
        <is>
          <t>Banca d'Italia - tassi di cambio (ex UIC)</t>
        </is>
      </c>
    </row>
    <row r="203">
      <c r="A203" s="2" t="n">
        <v>45938</v>
      </c>
      <c r="B203" t="n">
        <v>1.1627</v>
      </c>
      <c r="C203" t="inlineStr">
        <is>
          <t>Banca d'Italia - tassi di cambio (ex UIC)</t>
        </is>
      </c>
    </row>
    <row r="204">
      <c r="A204" s="2" t="n">
        <v>45939</v>
      </c>
      <c r="B204" t="n">
        <v>1.1611</v>
      </c>
      <c r="C204" t="inlineStr">
        <is>
          <t>Banca d'Italia - tassi di cambio (ex UIC)</t>
        </is>
      </c>
    </row>
    <row r="205">
      <c r="A205" s="2" t="n">
        <v>45940</v>
      </c>
      <c r="B205" t="n">
        <v>1.1568</v>
      </c>
      <c r="C205" t="inlineStr">
        <is>
          <t>Banca d'Italia - tassi di cambio (ex UIC)</t>
        </is>
      </c>
    </row>
    <row r="206">
      <c r="A206" s="2" t="n">
        <v>45943</v>
      </c>
      <c r="B206" t="n">
        <v>1.1569</v>
      </c>
      <c r="C206" t="inlineStr">
        <is>
          <t>Banca d'Italia - tassi di cambio (ex UIC)</t>
        </is>
      </c>
    </row>
    <row r="207">
      <c r="A207" s="2" t="n">
        <v>45944</v>
      </c>
      <c r="B207" t="n">
        <v>1.1553</v>
      </c>
      <c r="C207" t="inlineStr">
        <is>
          <t>Banca d'Italia - tassi di cambio (ex UIC)</t>
        </is>
      </c>
    </row>
    <row r="208">
      <c r="A208" s="2" t="n">
        <v>45945</v>
      </c>
      <c r="B208" t="n">
        <v>1.1622</v>
      </c>
      <c r="C208" t="inlineStr">
        <is>
          <t>Banca d'Italia - tassi di cambio (ex UIC)</t>
        </is>
      </c>
    </row>
    <row r="209">
      <c r="A209" s="2" t="n">
        <v>45946</v>
      </c>
      <c r="B209" t="n">
        <v>1.1649</v>
      </c>
      <c r="C209" t="inlineStr">
        <is>
          <t>Banca d'Italia - tassi di cambio (ex UIC)</t>
        </is>
      </c>
    </row>
    <row r="210">
      <c r="A210" s="2" t="n">
        <v>45947</v>
      </c>
      <c r="B210" t="n">
        <v>1.1681</v>
      </c>
      <c r="C210" t="inlineStr">
        <is>
          <t>Banca d'Italia - tassi di cambio (ex UIC)</t>
        </is>
      </c>
    </row>
    <row r="211">
      <c r="A211" s="2" t="n">
        <v>45950</v>
      </c>
      <c r="B211" t="n">
        <v>1.1655</v>
      </c>
      <c r="C211" t="inlineStr">
        <is>
          <t>Banca d'Italia - tassi di cambio (ex UIC)</t>
        </is>
      </c>
    </row>
    <row r="212">
      <c r="A212" s="2" t="n">
        <v>45951</v>
      </c>
      <c r="B212" t="n">
        <v>1.1607</v>
      </c>
      <c r="C212" t="inlineStr">
        <is>
          <t>Banca d'Italia - tassi di cambio (ex UIC)</t>
        </is>
      </c>
    </row>
    <row r="213">
      <c r="A213" s="2" t="n">
        <v>45952</v>
      </c>
      <c r="B213" t="n">
        <v>1.1587</v>
      </c>
      <c r="C213" t="inlineStr">
        <is>
          <t>Banca d'Italia - tassi di cambio (ex UIC)</t>
        </is>
      </c>
    </row>
    <row r="214">
      <c r="A214" s="2" t="n">
        <v>45953</v>
      </c>
      <c r="B214" t="n">
        <v>1.1593</v>
      </c>
      <c r="C214" t="inlineStr">
        <is>
          <t>Banca d'Italia - tassi di cambio (ex UIC)</t>
        </is>
      </c>
    </row>
    <row r="215">
      <c r="A215" s="2" t="n">
        <v>45954</v>
      </c>
      <c r="B215" t="n">
        <v>1.1612</v>
      </c>
      <c r="C215" t="inlineStr">
        <is>
          <t>Banca d'Italia - tassi di cambio (ex UIC)</t>
        </is>
      </c>
    </row>
    <row r="216">
      <c r="A216" s="2" t="n">
        <v>45957</v>
      </c>
      <c r="B216" t="n">
        <v>1.164</v>
      </c>
      <c r="C216" t="inlineStr">
        <is>
          <t>Banca d'Italia - tassi di cambio (ex UIC)</t>
        </is>
      </c>
    </row>
    <row r="217">
      <c r="A217" s="2" t="n">
        <v>45958</v>
      </c>
      <c r="B217" t="n">
        <v>1.163</v>
      </c>
      <c r="C217" t="inlineStr">
        <is>
          <t>Banca d'Italia - tassi di cambio (ex UIC)</t>
        </is>
      </c>
    </row>
    <row r="218">
      <c r="A218" s="2" t="n">
        <v>45959</v>
      </c>
      <c r="B218" t="n">
        <v>1.1636</v>
      </c>
      <c r="C218" t="inlineStr">
        <is>
          <t>Banca d'Italia - tassi di cambio (ex UIC)</t>
        </is>
      </c>
    </row>
    <row r="219">
      <c r="A219" s="2" t="n">
        <v>45960</v>
      </c>
      <c r="B219" t="n">
        <v>1.155</v>
      </c>
      <c r="C219" t="inlineStr">
        <is>
          <t>Banca d'Italia - tassi di cambio (ex UIC)</t>
        </is>
      </c>
    </row>
    <row r="220">
      <c r="A220" s="2" t="n">
        <v>45961</v>
      </c>
      <c r="B220" t="n">
        <v>1.1554</v>
      </c>
      <c r="C220" t="inlineStr">
        <is>
          <t>Banca d'Italia - tassi di cambio (ex UIC)</t>
        </is>
      </c>
    </row>
    <row r="221">
      <c r="A221" s="2" t="n">
        <v>45964</v>
      </c>
      <c r="B221" t="n">
        <v>1.1514</v>
      </c>
      <c r="C221" t="inlineStr">
        <is>
          <t>Banca d'Italia - tassi di cambio (ex UIC)</t>
        </is>
      </c>
    </row>
    <row r="222">
      <c r="A222" s="2" t="n">
        <v>45965</v>
      </c>
      <c r="B222" t="n">
        <v>1.1491</v>
      </c>
      <c r="C222" t="inlineStr">
        <is>
          <t>Banca d'Italia - tassi di cambio (ex UIC)</t>
        </is>
      </c>
    </row>
    <row r="223">
      <c r="A223" s="2" t="n">
        <v>45966</v>
      </c>
      <c r="B223" t="n">
        <v>1.1492</v>
      </c>
      <c r="C223" t="inlineStr">
        <is>
          <t>Banca d'Italia - tassi di cambio (ex UIC)</t>
        </is>
      </c>
    </row>
    <row r="224">
      <c r="A224" s="2" t="n">
        <v>45967</v>
      </c>
      <c r="B224" t="n">
        <v>1.1533</v>
      </c>
      <c r="C224" t="inlineStr">
        <is>
          <t>Banca d'Italia - tassi di cambio (ex UIC)</t>
        </is>
      </c>
    </row>
    <row r="225">
      <c r="A225" s="2" t="n">
        <v>45968</v>
      </c>
      <c r="B225" t="n">
        <v>1.1561</v>
      </c>
      <c r="C225" t="inlineStr">
        <is>
          <t>Banca d'Italia - tassi di cambio (ex UIC)</t>
        </is>
      </c>
    </row>
    <row r="226">
      <c r="A226" s="2" t="n">
        <v>45971</v>
      </c>
      <c r="B226" t="n">
        <v>1.1571</v>
      </c>
      <c r="C226" t="inlineStr">
        <is>
          <t>Banca d'Italia - tassi di cambio (ex UIC)</t>
        </is>
      </c>
    </row>
    <row r="227">
      <c r="A227" s="2" t="n">
        <v>45972</v>
      </c>
      <c r="B227" t="n">
        <v>1.1575</v>
      </c>
      <c r="C227" t="inlineStr">
        <is>
          <t>Banca d'Italia - tassi di cambio (ex UIC)</t>
        </is>
      </c>
    </row>
    <row r="228">
      <c r="A228" s="2" t="n">
        <v>45973</v>
      </c>
      <c r="B228" t="n">
        <v>1.1576</v>
      </c>
      <c r="C228" t="inlineStr">
        <is>
          <t>Banca d'Italia - tassi di cambio (ex UIC)</t>
        </is>
      </c>
    </row>
    <row r="229">
      <c r="A229" s="2" t="n">
        <v>45974</v>
      </c>
      <c r="B229" t="n">
        <v>1.1619</v>
      </c>
      <c r="C229" t="inlineStr">
        <is>
          <t>Banca d'Italia - tassi di cambio (ex UIC)</t>
        </is>
      </c>
    </row>
    <row r="230">
      <c r="A230" s="2" t="n">
        <v>45975</v>
      </c>
      <c r="B230" t="n">
        <v>1.1648</v>
      </c>
      <c r="C230" t="inlineStr">
        <is>
          <t>Banca d'Italia - tassi di cambio (ex UIC)</t>
        </is>
      </c>
    </row>
    <row r="231">
      <c r="A231" s="2" t="n">
        <v>45978</v>
      </c>
      <c r="B231" t="n">
        <v>1.1593</v>
      </c>
      <c r="C231" t="inlineStr">
        <is>
          <t>Banca d'Italia - tassi di cambio (ex UIC)</t>
        </is>
      </c>
    </row>
    <row r="232">
      <c r="A232" s="2" t="n">
        <v>45979</v>
      </c>
      <c r="B232" t="n">
        <v>1.159</v>
      </c>
      <c r="C232" t="inlineStr">
        <is>
          <t>Banca d'Italia - tassi di cambio (ex UIC)</t>
        </is>
      </c>
    </row>
    <row r="233">
      <c r="A233" s="2" t="n">
        <v>45980</v>
      </c>
      <c r="B233" t="n">
        <v>1.1583</v>
      </c>
      <c r="C233" t="inlineStr">
        <is>
          <t>Banca d'Italia - tassi di cambio (ex UIC)</t>
        </is>
      </c>
    </row>
    <row r="234">
      <c r="A234" s="2" t="n">
        <v>45981</v>
      </c>
      <c r="B234" t="n">
        <v>1.1514</v>
      </c>
      <c r="C234" t="inlineStr">
        <is>
          <t>Banca d'Italia - tassi di cambio (ex UIC)</t>
        </is>
      </c>
    </row>
    <row r="235">
      <c r="A235" s="2" t="n">
        <v>45982</v>
      </c>
      <c r="B235" t="n">
        <v>1.152</v>
      </c>
      <c r="C235" t="inlineStr">
        <is>
          <t>Banca d'Italia - tassi di cambio (ex UIC)</t>
        </is>
      </c>
    </row>
    <row r="236">
      <c r="A236" s="2" t="n">
        <v>45985</v>
      </c>
      <c r="B236" t="n">
        <v>1.1544</v>
      </c>
      <c r="C236" t="inlineStr">
        <is>
          <t>Banca d'Italia - tassi di cambio (ex UIC)</t>
        </is>
      </c>
    </row>
    <row r="237">
      <c r="A237" s="2" t="n">
        <v>45986</v>
      </c>
      <c r="B237" t="n">
        <v>1.1551</v>
      </c>
      <c r="C237" t="inlineStr">
        <is>
          <t>Banca d'Italia - tassi di cambio (ex UIC)</t>
        </is>
      </c>
    </row>
    <row r="238">
      <c r="A238" s="2" t="n">
        <v>45987</v>
      </c>
      <c r="B238" t="n">
        <v>1.1577</v>
      </c>
      <c r="C238" t="inlineStr">
        <is>
          <t>Banca d'Italia - tassi di cambio (ex UIC)</t>
        </is>
      </c>
    </row>
    <row r="239">
      <c r="A239" s="2" t="n">
        <v>45988</v>
      </c>
      <c r="B239" t="n">
        <v>1.1586</v>
      </c>
      <c r="C239" t="inlineStr">
        <is>
          <t>Banca d'Italia - tassi di cambio (ex UIC)</t>
        </is>
      </c>
    </row>
    <row r="240">
      <c r="A240" s="2" t="n">
        <v>45989</v>
      </c>
      <c r="B240" t="n">
        <v>1.1566</v>
      </c>
      <c r="C240" t="inlineStr">
        <is>
          <t>Banca d'Italia - tassi di cambio (ex UIC)</t>
        </is>
      </c>
    </row>
    <row r="241">
      <c r="A241" s="2" t="n">
        <v>45992</v>
      </c>
      <c r="B241" t="n">
        <v>1.1646</v>
      </c>
      <c r="C241" t="inlineStr">
        <is>
          <t>Banca d'Italia - tassi di cambio (ex UIC)</t>
        </is>
      </c>
    </row>
    <row r="242">
      <c r="A242" s="2" t="n">
        <v>45993</v>
      </c>
      <c r="B242" t="n">
        <v>1.1614</v>
      </c>
      <c r="C242" t="inlineStr">
        <is>
          <t>Banca d'Italia - tassi di cambio (ex UIC)</t>
        </is>
      </c>
    </row>
    <row r="243">
      <c r="A243" s="2" t="n">
        <v>45994</v>
      </c>
      <c r="B243" t="n">
        <v>1.1668</v>
      </c>
      <c r="C243" t="inlineStr">
        <is>
          <t>Banca d'Italia - tassi di cambio (ex UIC)</t>
        </is>
      </c>
    </row>
    <row r="244">
      <c r="A244" s="2" t="n">
        <v>45995</v>
      </c>
      <c r="B244" t="n">
        <v>1.1666</v>
      </c>
      <c r="C244" t="inlineStr">
        <is>
          <t>Banca d'Italia - tassi di cambio (ex UIC)</t>
        </is>
      </c>
    </row>
    <row r="245">
      <c r="A245" s="2" t="n">
        <v>45996</v>
      </c>
      <c r="B245" t="n">
        <v>1.1645</v>
      </c>
      <c r="C245" t="inlineStr">
        <is>
          <t>Banca d'Italia - tassi di cambio (ex UIC)</t>
        </is>
      </c>
    </row>
    <row r="246">
      <c r="A246" s="2" t="n">
        <v>45999</v>
      </c>
      <c r="B246" t="n">
        <v>1.1655</v>
      </c>
      <c r="C246" t="inlineStr">
        <is>
          <t>Banca d'Italia - tassi di cambio (ex UIC)</t>
        </is>
      </c>
    </row>
    <row r="247">
      <c r="A247" s="2" t="n">
        <v>46000</v>
      </c>
      <c r="B247" t="n">
        <v>1.1637</v>
      </c>
      <c r="C247" t="inlineStr">
        <is>
          <t>Banca d'Italia - tassi di cambio (ex UIC)</t>
        </is>
      </c>
    </row>
    <row r="248">
      <c r="A248" s="2" t="n">
        <v>46001</v>
      </c>
      <c r="B248" t="n">
        <v>1.1634</v>
      </c>
      <c r="C248" t="inlineStr">
        <is>
          <t>Banca d'Italia - tassi di cambio (ex UIC)</t>
        </is>
      </c>
    </row>
    <row r="249">
      <c r="A249" s="2" t="n">
        <v>46002</v>
      </c>
      <c r="B249" t="n">
        <v>1.1714</v>
      </c>
      <c r="C249" t="inlineStr">
        <is>
          <t>Banca d'Italia - tassi di cambio (ex UIC)</t>
        </is>
      </c>
    </row>
    <row r="250">
      <c r="A250" s="2" t="n">
        <v>46003</v>
      </c>
      <c r="B250" t="n">
        <v>1.1731</v>
      </c>
      <c r="C250" t="inlineStr">
        <is>
          <t>Banca d'Italia - tassi di cambio (ex UIC)</t>
        </is>
      </c>
    </row>
    <row r="251">
      <c r="A251" s="2" t="n">
        <v>46006</v>
      </c>
      <c r="B251" t="n">
        <v>1.1753</v>
      </c>
      <c r="C251" t="inlineStr">
        <is>
          <t>Banca d'Italia - tassi di cambio (ex UIC)</t>
        </is>
      </c>
    </row>
    <row r="252">
      <c r="A252" s="2" t="n">
        <v>46007</v>
      </c>
      <c r="B252" t="n">
        <v>1.1776</v>
      </c>
      <c r="C252" t="inlineStr">
        <is>
          <t>Banca d'Italia - tassi di cambio (ex UIC)</t>
        </is>
      </c>
    </row>
    <row r="253">
      <c r="A253" s="2" t="n">
        <v>46008</v>
      </c>
      <c r="B253" t="n">
        <v>1.1722</v>
      </c>
      <c r="C253" t="inlineStr">
        <is>
          <t>Banca d'Italia - tassi di cambio (ex UIC)</t>
        </is>
      </c>
    </row>
    <row r="254">
      <c r="A254" s="2" t="n">
        <v>46009</v>
      </c>
      <c r="B254" t="n">
        <v>1.1719</v>
      </c>
      <c r="C254" t="inlineStr">
        <is>
          <t>Banca d'Italia - tassi di cambio (ex UIC)</t>
        </is>
      </c>
    </row>
    <row r="255">
      <c r="A255" s="2" t="n">
        <v>46010</v>
      </c>
      <c r="B255" t="n">
        <v>1.1712</v>
      </c>
      <c r="C255" t="inlineStr">
        <is>
          <t>Banca d'Italia - tassi di cambio (ex UIC)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cambio medio USD per 1 EUR</t>
        </is>
      </c>
      <c r="D1" s="1" t="inlineStr">
        <is>
          <t>fonte</t>
        </is>
      </c>
    </row>
    <row r="2">
      <c r="A2" t="n">
        <v>2024</v>
      </c>
      <c r="B2" t="n">
        <v>12</v>
      </c>
      <c r="C2" t="n">
        <v>1.0479</v>
      </c>
      <c r="D2" t="inlineStr">
        <is>
          <t>Medie mensili Banca d'Italia = provvedimenti Agenzia delle Entrate</t>
        </is>
      </c>
    </row>
    <row r="3">
      <c r="A3" t="n">
        <v>2025</v>
      </c>
      <c r="B3" t="n">
        <v>1</v>
      </c>
      <c r="C3" t="n">
        <v>1.0354</v>
      </c>
      <c r="D3" t="inlineStr">
        <is>
          <t>Medie mensili Banca d'Italia = provvedimenti Agenzia delle Entrate</t>
        </is>
      </c>
    </row>
    <row r="4">
      <c r="A4" t="n">
        <v>2025</v>
      </c>
      <c r="B4" t="n">
        <v>12</v>
      </c>
      <c r="C4" t="n">
        <v>1.1709</v>
      </c>
      <c r="D4" t="inlineStr">
        <is>
          <t>Medie mensili Banca d'Italia = provvedimenti Agenzia delle Entrate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2026-10-08T14:44:42Z</dcterms:created>
  <dcterms:modified xmlns:dcterms="http://purl.org/dc/terms/" xmlns:xsi="http://www.w3.org/2001/XMLSchema-instance" xsi:type="dcterms:W3CDTF">2026-10-08T14:44:42Z</dcterms:modified>
</cp:coreProperties>
</file>