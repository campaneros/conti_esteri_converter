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vimenti" sheetId="1" state="visible" r:id="rId1"/>
    <sheet xmlns:r="http://schemas.openxmlformats.org/officeDocument/2006/relationships" name="Cambi" sheetId="2" state="visible" r:id="rId2"/>
    <sheet xmlns:r="http://schemas.openxmlformats.org/officeDocument/2006/relationships" name="Medie mensi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s="1" t="inlineStr">
        <is>
          <t>data</t>
        </is>
      </c>
      <c r="B1" s="1" t="inlineStr">
        <is>
          <t>causale</t>
        </is>
      </c>
      <c r="C1" s="1" t="inlineStr">
        <is>
          <t>entrate</t>
        </is>
      </c>
      <c r="D1" s="1" t="inlineStr">
        <is>
          <t>uscite</t>
        </is>
      </c>
      <c r="E1" s="1" t="inlineStr">
        <is>
          <t>saldo</t>
        </is>
      </c>
      <c r="F1" s="1" t="inlineStr">
        <is>
          <t>gg</t>
        </is>
      </c>
      <c r="G1" s="1" t="inlineStr">
        <is>
          <t>saldo x gg</t>
        </is>
      </c>
      <c r="H1" s="1" t="n"/>
      <c r="I1" s="1" t="inlineStr">
        <is>
          <t>cambio</t>
        </is>
      </c>
      <c r="J1" s="1" t="inlineStr">
        <is>
          <t>entrate in euro</t>
        </is>
      </c>
      <c r="K1" s="1" t="inlineStr">
        <is>
          <t>uscite in euro</t>
        </is>
      </c>
      <c r="L1" s="1" t="inlineStr">
        <is>
          <t>saldo in euro</t>
        </is>
      </c>
      <c r="M1" s="1" t="inlineStr">
        <is>
          <t>gg</t>
        </is>
      </c>
      <c r="N1" s="1" t="inlineStr">
        <is>
          <t>saldo x gg in euro</t>
        </is>
      </c>
      <c r="O1" s="1" t="n"/>
      <c r="P1" s="1" t="inlineStr">
        <is>
          <t>data cambio usata</t>
        </is>
      </c>
    </row>
    <row r="2">
      <c r="A2" s="2" t="n">
        <v>45657</v>
      </c>
      <c r="B2" t="inlineStr">
        <is>
          <t>saldo 1.1.2025</t>
        </is>
      </c>
      <c r="C2" t="n">
        <v>1605.36</v>
      </c>
      <c r="E2">
        <f>C2-D2</f>
        <v/>
      </c>
      <c r="F2" s="3">
        <f>DAYS(A3,A2)</f>
        <v/>
      </c>
      <c r="G2">
        <f>F2*E2</f>
        <v/>
      </c>
      <c r="I2">
        <f>'Medie mensili'!C2</f>
        <v/>
      </c>
      <c r="J2">
        <f>C2/I2</f>
        <v/>
      </c>
      <c r="L2">
        <f>J2-K2</f>
        <v/>
      </c>
      <c r="M2" s="3">
        <f>F2</f>
        <v/>
      </c>
      <c r="N2">
        <f>M2*L2</f>
        <v/>
      </c>
      <c r="P2" s="2" t="inlineStr">
        <is>
          <t>media mensile</t>
        </is>
      </c>
    </row>
    <row r="3">
      <c r="A3" s="2" t="n">
        <v>45666</v>
      </c>
      <c r="B3" t="inlineStr"/>
      <c r="C3" t="n">
        <v>1000</v>
      </c>
      <c r="E3">
        <f>E2+C3-D3</f>
        <v/>
      </c>
      <c r="F3" s="3">
        <f>DAYS(A4,A3)</f>
        <v/>
      </c>
      <c r="G3">
        <f>F3*E3</f>
        <v/>
      </c>
      <c r="I3">
        <f>LOOKUP(A3,Cambi!$A$2:$A$255,Cambi!$B$2:$B$255)</f>
        <v/>
      </c>
      <c r="J3">
        <f>C3/I3</f>
        <v/>
      </c>
      <c r="L3">
        <f>L2+J3-K3</f>
        <v/>
      </c>
      <c r="M3" s="3">
        <f>F3</f>
        <v/>
      </c>
      <c r="N3">
        <f>M3*L3</f>
        <v/>
      </c>
      <c r="P3" s="2">
        <f>LOOKUP(A3,Cambi!$A$2:$A$255,Cambi!$A$2:$A$255)</f>
        <v/>
      </c>
    </row>
    <row r="4">
      <c r="A4" s="2" t="n">
        <v>45666</v>
      </c>
      <c r="B4" t="inlineStr"/>
      <c r="C4" t="n">
        <v>2500</v>
      </c>
      <c r="E4">
        <f>E3+C4-D4</f>
        <v/>
      </c>
      <c r="F4" s="3">
        <f>DAYS(A5,A4)</f>
        <v/>
      </c>
      <c r="G4">
        <f>F4*E4</f>
        <v/>
      </c>
      <c r="I4">
        <f>LOOKUP(A4,Cambi!$A$2:$A$255,Cambi!$B$2:$B$255)</f>
        <v/>
      </c>
      <c r="J4">
        <f>C4/I4</f>
        <v/>
      </c>
      <c r="L4">
        <f>L3+J4-K4</f>
        <v/>
      </c>
      <c r="M4" s="3">
        <f>F4</f>
        <v/>
      </c>
      <c r="N4">
        <f>M4*L4</f>
        <v/>
      </c>
      <c r="P4" s="2">
        <f>LOOKUP(A4,Cambi!$A$2:$A$255,Cambi!$A$2:$A$255)</f>
        <v/>
      </c>
    </row>
    <row r="5">
      <c r="A5" s="2" t="n">
        <v>45670</v>
      </c>
      <c r="B5" t="inlineStr"/>
      <c r="D5" t="n">
        <v>3000</v>
      </c>
      <c r="E5">
        <f>E4+C5-D5</f>
        <v/>
      </c>
      <c r="F5" s="3">
        <f>DAYS(A6,A5)</f>
        <v/>
      </c>
      <c r="G5">
        <f>F5*E5</f>
        <v/>
      </c>
      <c r="I5">
        <f>LOOKUP(A5,Cambi!$A$2:$A$255,Cambi!$B$2:$B$255)</f>
        <v/>
      </c>
      <c r="K5">
        <f>D5/I5</f>
        <v/>
      </c>
      <c r="L5">
        <f>L4+J5-K5</f>
        <v/>
      </c>
      <c r="M5" s="3">
        <f>F5</f>
        <v/>
      </c>
      <c r="N5">
        <f>M5*L5</f>
        <v/>
      </c>
      <c r="P5" s="2">
        <f>LOOKUP(A5,Cambi!$A$2:$A$255,Cambi!$A$2:$A$255)</f>
        <v/>
      </c>
    </row>
    <row r="6">
      <c r="A6" s="2" t="n">
        <v>45677</v>
      </c>
      <c r="B6" t="inlineStr"/>
      <c r="C6" t="n">
        <v>600</v>
      </c>
      <c r="E6">
        <f>E5+C6-D6</f>
        <v/>
      </c>
      <c r="F6" s="3">
        <f>DAYS(A7,A6)</f>
        <v/>
      </c>
      <c r="G6">
        <f>F6*E6</f>
        <v/>
      </c>
      <c r="I6">
        <f>LOOKUP(A6,Cambi!$A$2:$A$255,Cambi!$B$2:$B$255)</f>
        <v/>
      </c>
      <c r="J6">
        <f>C6/I6</f>
        <v/>
      </c>
      <c r="L6">
        <f>L5+J6-K6</f>
        <v/>
      </c>
      <c r="M6" s="3">
        <f>F6</f>
        <v/>
      </c>
      <c r="N6">
        <f>M6*L6</f>
        <v/>
      </c>
      <c r="P6" s="2">
        <f>LOOKUP(A6,Cambi!$A$2:$A$255,Cambi!$A$2:$A$255)</f>
        <v/>
      </c>
    </row>
    <row r="7">
      <c r="A7" s="2" t="n">
        <v>45681</v>
      </c>
      <c r="B7" t="inlineStr"/>
      <c r="C7" t="n">
        <v>14824.2</v>
      </c>
      <c r="E7">
        <f>E6+C7-D7</f>
        <v/>
      </c>
      <c r="F7" s="3">
        <f>DAYS(A8,A7)</f>
        <v/>
      </c>
      <c r="G7">
        <f>F7*E7</f>
        <v/>
      </c>
      <c r="I7">
        <f>LOOKUP(A7,Cambi!$A$2:$A$255,Cambi!$B$2:$B$255)</f>
        <v/>
      </c>
      <c r="J7">
        <f>C7/I7</f>
        <v/>
      </c>
      <c r="L7">
        <f>L6+J7-K7</f>
        <v/>
      </c>
      <c r="M7" s="3">
        <f>F7</f>
        <v/>
      </c>
      <c r="N7">
        <f>M7*L7</f>
        <v/>
      </c>
      <c r="P7" s="2">
        <f>LOOKUP(A7,Cambi!$A$2:$A$255,Cambi!$A$2:$A$255)</f>
        <v/>
      </c>
    </row>
    <row r="8">
      <c r="A8" s="2" t="n">
        <v>45681</v>
      </c>
      <c r="B8" t="inlineStr"/>
      <c r="D8" t="n">
        <v>14824.2</v>
      </c>
      <c r="E8">
        <f>E7+C8-D8</f>
        <v/>
      </c>
      <c r="F8" s="3">
        <f>DAYS(A9,A8)</f>
        <v/>
      </c>
      <c r="G8">
        <f>F8*E8</f>
        <v/>
      </c>
      <c r="I8">
        <f>LOOKUP(A8,Cambi!$A$2:$A$255,Cambi!$B$2:$B$255)</f>
        <v/>
      </c>
      <c r="K8">
        <f>D8/I8</f>
        <v/>
      </c>
      <c r="L8">
        <f>L7+J8-K8</f>
        <v/>
      </c>
      <c r="M8" s="3">
        <f>F8</f>
        <v/>
      </c>
      <c r="N8">
        <f>M8*L8</f>
        <v/>
      </c>
      <c r="P8" s="2">
        <f>LOOKUP(A8,Cambi!$A$2:$A$255,Cambi!$A$2:$A$255)</f>
        <v/>
      </c>
    </row>
    <row r="9">
      <c r="A9" s="2" t="n">
        <v>45691</v>
      </c>
      <c r="B9" t="inlineStr"/>
      <c r="D9" t="n">
        <v>1276</v>
      </c>
      <c r="E9">
        <f>E8+C9-D9</f>
        <v/>
      </c>
      <c r="F9" s="3">
        <f>DAYS(A10,A9)</f>
        <v/>
      </c>
      <c r="G9">
        <f>F9*E9</f>
        <v/>
      </c>
      <c r="I9">
        <f>LOOKUP(A9,Cambi!$A$2:$A$255,Cambi!$B$2:$B$255)</f>
        <v/>
      </c>
      <c r="K9">
        <f>D9/I9</f>
        <v/>
      </c>
      <c r="L9">
        <f>L8+J9-K9</f>
        <v/>
      </c>
      <c r="M9" s="3">
        <f>F9</f>
        <v/>
      </c>
      <c r="N9">
        <f>M9*L9</f>
        <v/>
      </c>
      <c r="P9" s="2">
        <f>LOOKUP(A9,Cambi!$A$2:$A$255,Cambi!$A$2:$A$255)</f>
        <v/>
      </c>
    </row>
    <row r="10">
      <c r="A10" s="2" t="n">
        <v>45691</v>
      </c>
      <c r="B10" t="inlineStr"/>
      <c r="C10" t="n">
        <v>1000</v>
      </c>
      <c r="E10">
        <f>E9+C10-D10</f>
        <v/>
      </c>
      <c r="F10" s="3">
        <f>DAYS(A11,A10)</f>
        <v/>
      </c>
      <c r="G10">
        <f>F10*E10</f>
        <v/>
      </c>
      <c r="I10">
        <f>LOOKUP(A10,Cambi!$A$2:$A$255,Cambi!$B$2:$B$255)</f>
        <v/>
      </c>
      <c r="J10">
        <f>C10/I10</f>
        <v/>
      </c>
      <c r="L10">
        <f>L9+J10-K10</f>
        <v/>
      </c>
      <c r="M10" s="3">
        <f>F10</f>
        <v/>
      </c>
      <c r="N10">
        <f>M10*L10</f>
        <v/>
      </c>
      <c r="P10" s="2">
        <f>LOOKUP(A10,Cambi!$A$2:$A$255,Cambi!$A$2:$A$255)</f>
        <v/>
      </c>
    </row>
    <row r="11">
      <c r="A11" s="2" t="n">
        <v>45698</v>
      </c>
      <c r="B11" t="inlineStr"/>
      <c r="C11" t="n">
        <v>1000</v>
      </c>
      <c r="E11">
        <f>E10+C11-D11</f>
        <v/>
      </c>
      <c r="F11" s="3">
        <f>DAYS(A12,A11)</f>
        <v/>
      </c>
      <c r="G11">
        <f>F11*E11</f>
        <v/>
      </c>
      <c r="I11">
        <f>LOOKUP(A11,Cambi!$A$2:$A$255,Cambi!$B$2:$B$255)</f>
        <v/>
      </c>
      <c r="J11">
        <f>C11/I11</f>
        <v/>
      </c>
      <c r="L11">
        <f>L10+J11-K11</f>
        <v/>
      </c>
      <c r="M11" s="3">
        <f>F11</f>
        <v/>
      </c>
      <c r="N11">
        <f>M11*L11</f>
        <v/>
      </c>
      <c r="P11" s="2">
        <f>LOOKUP(A11,Cambi!$A$2:$A$255,Cambi!$A$2:$A$255)</f>
        <v/>
      </c>
    </row>
    <row r="12">
      <c r="A12" s="2" t="n">
        <v>45705</v>
      </c>
      <c r="B12" t="inlineStr"/>
      <c r="D12" t="n">
        <v>700</v>
      </c>
      <c r="E12">
        <f>E11+C12-D12</f>
        <v/>
      </c>
      <c r="F12" s="3">
        <f>DAYS(A13,A12)</f>
        <v/>
      </c>
      <c r="G12">
        <f>F12*E12</f>
        <v/>
      </c>
      <c r="I12">
        <f>LOOKUP(A12,Cambi!$A$2:$A$255,Cambi!$B$2:$B$255)</f>
        <v/>
      </c>
      <c r="K12">
        <f>D12/I12</f>
        <v/>
      </c>
      <c r="L12">
        <f>L11+J12-K12</f>
        <v/>
      </c>
      <c r="M12" s="3">
        <f>F12</f>
        <v/>
      </c>
      <c r="N12">
        <f>M12*L12</f>
        <v/>
      </c>
      <c r="P12" s="2">
        <f>LOOKUP(A12,Cambi!$A$2:$A$255,Cambi!$A$2:$A$255)</f>
        <v/>
      </c>
    </row>
    <row r="13">
      <c r="A13" s="2" t="n">
        <v>45713</v>
      </c>
      <c r="B13" t="inlineStr"/>
      <c r="C13" t="n">
        <v>600</v>
      </c>
      <c r="E13">
        <f>E12+C13-D13</f>
        <v/>
      </c>
      <c r="F13" s="3">
        <f>DAYS(A14,A13)</f>
        <v/>
      </c>
      <c r="G13">
        <f>F13*E13</f>
        <v/>
      </c>
      <c r="I13">
        <f>LOOKUP(A13,Cambi!$A$2:$A$255,Cambi!$B$2:$B$255)</f>
        <v/>
      </c>
      <c r="J13">
        <f>C13/I13</f>
        <v/>
      </c>
      <c r="L13">
        <f>L12+J13-K13</f>
        <v/>
      </c>
      <c r="M13" s="3">
        <f>F13</f>
        <v/>
      </c>
      <c r="N13">
        <f>M13*L13</f>
        <v/>
      </c>
      <c r="P13" s="2">
        <f>LOOKUP(A13,Cambi!$A$2:$A$255,Cambi!$A$2:$A$255)</f>
        <v/>
      </c>
    </row>
    <row r="14">
      <c r="A14" s="2" t="n">
        <v>45716</v>
      </c>
      <c r="B14" t="inlineStr"/>
      <c r="C14" t="n">
        <v>2000</v>
      </c>
      <c r="E14">
        <f>E13+C14-D14</f>
        <v/>
      </c>
      <c r="F14" s="3">
        <f>DAYS(A15,A14)</f>
        <v/>
      </c>
      <c r="G14">
        <f>F14*E14</f>
        <v/>
      </c>
      <c r="I14">
        <f>LOOKUP(A14,Cambi!$A$2:$A$255,Cambi!$B$2:$B$255)</f>
        <v/>
      </c>
      <c r="J14">
        <f>C14/I14</f>
        <v/>
      </c>
      <c r="L14">
        <f>L13+J14-K14</f>
        <v/>
      </c>
      <c r="M14" s="3">
        <f>F14</f>
        <v/>
      </c>
      <c r="N14">
        <f>M14*L14</f>
        <v/>
      </c>
      <c r="P14" s="2">
        <f>LOOKUP(A14,Cambi!$A$2:$A$255,Cambi!$A$2:$A$255)</f>
        <v/>
      </c>
    </row>
    <row r="15">
      <c r="A15" s="2" t="n">
        <v>45716</v>
      </c>
      <c r="B15" t="inlineStr"/>
      <c r="D15" t="n">
        <v>3510.77</v>
      </c>
      <c r="E15">
        <f>E14+C15-D15</f>
        <v/>
      </c>
      <c r="F15" s="3">
        <f>DAYS(A16,A15)</f>
        <v/>
      </c>
      <c r="G15">
        <f>F15*E15</f>
        <v/>
      </c>
      <c r="I15">
        <f>LOOKUP(A15,Cambi!$A$2:$A$255,Cambi!$B$2:$B$255)</f>
        <v/>
      </c>
      <c r="K15">
        <f>D15/I15</f>
        <v/>
      </c>
      <c r="L15">
        <f>L14+J15-K15</f>
        <v/>
      </c>
      <c r="M15" s="3">
        <f>F15</f>
        <v/>
      </c>
      <c r="N15">
        <f>M15*L15</f>
        <v/>
      </c>
      <c r="P15" s="2">
        <f>LOOKUP(A15,Cambi!$A$2:$A$255,Cambi!$A$2:$A$255)</f>
        <v/>
      </c>
    </row>
    <row r="16">
      <c r="A16" s="2" t="n">
        <v>45721</v>
      </c>
      <c r="B16" t="inlineStr"/>
      <c r="D16" t="n">
        <v>597.6</v>
      </c>
      <c r="E16">
        <f>E15+C16-D16</f>
        <v/>
      </c>
      <c r="F16" s="3">
        <f>DAYS(A17,A16)</f>
        <v/>
      </c>
      <c r="G16">
        <f>F16*E16</f>
        <v/>
      </c>
      <c r="I16">
        <f>LOOKUP(A16,Cambi!$A$2:$A$255,Cambi!$B$2:$B$255)</f>
        <v/>
      </c>
      <c r="K16">
        <f>D16/I16</f>
        <v/>
      </c>
      <c r="L16">
        <f>L15+J16-K16</f>
        <v/>
      </c>
      <c r="M16" s="3">
        <f>F16</f>
        <v/>
      </c>
      <c r="N16">
        <f>M16*L16</f>
        <v/>
      </c>
      <c r="P16" s="2">
        <f>LOOKUP(A16,Cambi!$A$2:$A$255,Cambi!$A$2:$A$255)</f>
        <v/>
      </c>
    </row>
    <row r="17">
      <c r="A17" s="2" t="n">
        <v>45727</v>
      </c>
      <c r="B17" t="inlineStr"/>
      <c r="C17" t="n">
        <v>1000</v>
      </c>
      <c r="E17">
        <f>E16+C17-D17</f>
        <v/>
      </c>
      <c r="F17" s="3">
        <f>DAYS(A18,A17)</f>
        <v/>
      </c>
      <c r="G17">
        <f>F17*E17</f>
        <v/>
      </c>
      <c r="I17">
        <f>LOOKUP(A17,Cambi!$A$2:$A$255,Cambi!$B$2:$B$255)</f>
        <v/>
      </c>
      <c r="J17">
        <f>C17/I17</f>
        <v/>
      </c>
      <c r="L17">
        <f>L16+J17-K17</f>
        <v/>
      </c>
      <c r="M17" s="3">
        <f>F17</f>
        <v/>
      </c>
      <c r="N17">
        <f>M17*L17</f>
        <v/>
      </c>
      <c r="P17" s="2">
        <f>LOOKUP(A17,Cambi!$A$2:$A$255,Cambi!$A$2:$A$255)</f>
        <v/>
      </c>
    </row>
    <row r="18">
      <c r="A18" s="2" t="n">
        <v>45736</v>
      </c>
      <c r="B18" t="inlineStr"/>
      <c r="C18" t="n">
        <v>600</v>
      </c>
      <c r="E18">
        <f>E17+C18-D18</f>
        <v/>
      </c>
      <c r="F18" s="3">
        <f>DAYS(A19,A18)</f>
        <v/>
      </c>
      <c r="G18">
        <f>F18*E18</f>
        <v/>
      </c>
      <c r="I18">
        <f>LOOKUP(A18,Cambi!$A$2:$A$255,Cambi!$B$2:$B$255)</f>
        <v/>
      </c>
      <c r="J18">
        <f>C18/I18</f>
        <v/>
      </c>
      <c r="L18">
        <f>L17+J18-K18</f>
        <v/>
      </c>
      <c r="M18" s="3">
        <f>F18</f>
        <v/>
      </c>
      <c r="N18">
        <f>M18*L18</f>
        <v/>
      </c>
      <c r="P18" s="2">
        <f>LOOKUP(A18,Cambi!$A$2:$A$255,Cambi!$A$2:$A$255)</f>
        <v/>
      </c>
    </row>
    <row r="19">
      <c r="A19" s="2" t="n">
        <v>45756</v>
      </c>
      <c r="B19" t="inlineStr"/>
      <c r="C19" t="n">
        <v>1000</v>
      </c>
      <c r="E19">
        <f>E18+C19-D19</f>
        <v/>
      </c>
      <c r="F19" s="3">
        <f>DAYS(A20,A19)</f>
        <v/>
      </c>
      <c r="G19">
        <f>F19*E19</f>
        <v/>
      </c>
      <c r="I19">
        <f>LOOKUP(A19,Cambi!$A$2:$A$255,Cambi!$B$2:$B$255)</f>
        <v/>
      </c>
      <c r="J19">
        <f>C19/I19</f>
        <v/>
      </c>
      <c r="L19">
        <f>L18+J19-K19</f>
        <v/>
      </c>
      <c r="M19" s="3">
        <f>F19</f>
        <v/>
      </c>
      <c r="N19">
        <f>M19*L19</f>
        <v/>
      </c>
      <c r="P19" s="2">
        <f>LOOKUP(A19,Cambi!$A$2:$A$255,Cambi!$A$2:$A$255)</f>
        <v/>
      </c>
    </row>
    <row r="20">
      <c r="A20" s="2" t="n">
        <v>45767</v>
      </c>
      <c r="B20" t="inlineStr"/>
      <c r="C20" t="n">
        <v>600</v>
      </c>
      <c r="E20">
        <f>E19+C20-D20</f>
        <v/>
      </c>
      <c r="F20" s="3">
        <f>DAYS(A21,A20)</f>
        <v/>
      </c>
      <c r="G20">
        <f>F20*E20</f>
        <v/>
      </c>
      <c r="I20">
        <f>LOOKUP(A20,Cambi!$A$2:$A$255,Cambi!$B$2:$B$255)</f>
        <v/>
      </c>
      <c r="J20">
        <f>C20/I20</f>
        <v/>
      </c>
      <c r="L20">
        <f>L19+J20-K20</f>
        <v/>
      </c>
      <c r="M20" s="3">
        <f>F20</f>
        <v/>
      </c>
      <c r="N20">
        <f>M20*L20</f>
        <v/>
      </c>
      <c r="P20" s="2">
        <f>LOOKUP(A20,Cambi!$A$2:$A$255,Cambi!$A$2:$A$255)</f>
        <v/>
      </c>
    </row>
    <row r="21">
      <c r="A21" s="2" t="n">
        <v>45780</v>
      </c>
      <c r="B21" t="inlineStr"/>
      <c r="C21" t="n">
        <v>10000</v>
      </c>
      <c r="E21">
        <f>E20+C21-D21</f>
        <v/>
      </c>
      <c r="F21" s="3">
        <f>DAYS(A22,A21)</f>
        <v/>
      </c>
      <c r="G21">
        <f>F21*E21</f>
        <v/>
      </c>
      <c r="I21">
        <f>LOOKUP(A21,Cambi!$A$2:$A$255,Cambi!$B$2:$B$255)</f>
        <v/>
      </c>
      <c r="J21">
        <f>C21/I21</f>
        <v/>
      </c>
      <c r="L21">
        <f>L20+J21-K21</f>
        <v/>
      </c>
      <c r="M21" s="3">
        <f>F21</f>
        <v/>
      </c>
      <c r="N21">
        <f>M21*L21</f>
        <v/>
      </c>
      <c r="P21" s="2">
        <f>LOOKUP(A21,Cambi!$A$2:$A$255,Cambi!$A$2:$A$255)</f>
        <v/>
      </c>
    </row>
    <row r="22">
      <c r="A22" s="2" t="n">
        <v>45780</v>
      </c>
      <c r="B22" t="inlineStr"/>
      <c r="D22" t="n">
        <v>11976</v>
      </c>
      <c r="E22">
        <f>E21+C22-D22</f>
        <v/>
      </c>
      <c r="F22" s="3">
        <f>DAYS(A23,A22)</f>
        <v/>
      </c>
      <c r="G22">
        <f>F22*E22</f>
        <v/>
      </c>
      <c r="I22">
        <f>LOOKUP(A22,Cambi!$A$2:$A$255,Cambi!$B$2:$B$255)</f>
        <v/>
      </c>
      <c r="K22">
        <f>D22/I22</f>
        <v/>
      </c>
      <c r="L22">
        <f>L21+J22-K22</f>
        <v/>
      </c>
      <c r="M22" s="3">
        <f>F22</f>
        <v/>
      </c>
      <c r="N22">
        <f>M22*L22</f>
        <v/>
      </c>
      <c r="P22" s="2">
        <f>LOOKUP(A22,Cambi!$A$2:$A$255,Cambi!$A$2:$A$255)</f>
        <v/>
      </c>
    </row>
    <row r="23">
      <c r="A23" s="2" t="n">
        <v>45786</v>
      </c>
      <c r="B23" t="inlineStr"/>
      <c r="C23" t="n">
        <v>1000</v>
      </c>
      <c r="E23">
        <f>E22+C23-D23</f>
        <v/>
      </c>
      <c r="F23" s="3">
        <f>DAYS(A24,A23)</f>
        <v/>
      </c>
      <c r="G23">
        <f>F23*E23</f>
        <v/>
      </c>
      <c r="I23">
        <f>LOOKUP(A23,Cambi!$A$2:$A$255,Cambi!$B$2:$B$255)</f>
        <v/>
      </c>
      <c r="J23">
        <f>C23/I23</f>
        <v/>
      </c>
      <c r="L23">
        <f>L22+J23-K23</f>
        <v/>
      </c>
      <c r="M23" s="3">
        <f>F23</f>
        <v/>
      </c>
      <c r="N23">
        <f>M23*L23</f>
        <v/>
      </c>
      <c r="P23" s="2">
        <f>LOOKUP(A23,Cambi!$A$2:$A$255,Cambi!$A$2:$A$255)</f>
        <v/>
      </c>
    </row>
    <row r="24">
      <c r="A24" s="2" t="n">
        <v>45797</v>
      </c>
      <c r="B24" t="inlineStr"/>
      <c r="C24" t="n">
        <v>600</v>
      </c>
      <c r="E24">
        <f>E23+C24-D24</f>
        <v/>
      </c>
      <c r="F24" s="3">
        <f>DAYS(A25,A24)</f>
        <v/>
      </c>
      <c r="G24">
        <f>F24*E24</f>
        <v/>
      </c>
      <c r="I24">
        <f>LOOKUP(A24,Cambi!$A$2:$A$255,Cambi!$B$2:$B$255)</f>
        <v/>
      </c>
      <c r="J24">
        <f>C24/I24</f>
        <v/>
      </c>
      <c r="L24">
        <f>L23+J24-K24</f>
        <v/>
      </c>
      <c r="M24" s="3">
        <f>F24</f>
        <v/>
      </c>
      <c r="N24">
        <f>M24*L24</f>
        <v/>
      </c>
      <c r="P24" s="2">
        <f>LOOKUP(A24,Cambi!$A$2:$A$255,Cambi!$A$2:$A$255)</f>
        <v/>
      </c>
    </row>
    <row r="25">
      <c r="A25" s="2" t="n">
        <v>45812</v>
      </c>
      <c r="B25" t="inlineStr"/>
      <c r="C25" t="n">
        <v>1000</v>
      </c>
      <c r="E25">
        <f>E24+C25-D25</f>
        <v/>
      </c>
      <c r="F25" s="3">
        <f>DAYS(A26,A25)</f>
        <v/>
      </c>
      <c r="G25">
        <f>F25*E25</f>
        <v/>
      </c>
      <c r="I25">
        <f>LOOKUP(A25,Cambi!$A$2:$A$255,Cambi!$B$2:$B$255)</f>
        <v/>
      </c>
      <c r="J25">
        <f>C25/I25</f>
        <v/>
      </c>
      <c r="L25">
        <f>L24+J25-K25</f>
        <v/>
      </c>
      <c r="M25" s="3">
        <f>F25</f>
        <v/>
      </c>
      <c r="N25">
        <f>M25*L25</f>
        <v/>
      </c>
      <c r="P25" s="2">
        <f>LOOKUP(A25,Cambi!$A$2:$A$255,Cambi!$A$2:$A$255)</f>
        <v/>
      </c>
    </row>
    <row r="26">
      <c r="A26" s="2" t="n">
        <v>45829</v>
      </c>
      <c r="B26" t="inlineStr"/>
      <c r="C26" t="n">
        <v>600</v>
      </c>
      <c r="E26">
        <f>E25+C26-D26</f>
        <v/>
      </c>
      <c r="F26" s="3">
        <f>DAYS(A27,A26)</f>
        <v/>
      </c>
      <c r="G26">
        <f>F26*E26</f>
        <v/>
      </c>
      <c r="I26">
        <f>LOOKUP(A26,Cambi!$A$2:$A$255,Cambi!$B$2:$B$255)</f>
        <v/>
      </c>
      <c r="J26">
        <f>C26/I26</f>
        <v/>
      </c>
      <c r="L26">
        <f>L25+J26-K26</f>
        <v/>
      </c>
      <c r="M26" s="3">
        <f>F26</f>
        <v/>
      </c>
      <c r="N26">
        <f>M26*L26</f>
        <v/>
      </c>
      <c r="P26" s="2">
        <f>LOOKUP(A26,Cambi!$A$2:$A$255,Cambi!$A$2:$A$255)</f>
        <v/>
      </c>
    </row>
    <row r="27">
      <c r="A27" s="2" t="n">
        <v>45840</v>
      </c>
      <c r="B27" t="inlineStr"/>
      <c r="D27" t="n">
        <v>3000</v>
      </c>
      <c r="E27">
        <f>E26+C27-D27</f>
        <v/>
      </c>
      <c r="F27" s="3">
        <f>DAYS(A28,A27)</f>
        <v/>
      </c>
      <c r="G27">
        <f>F27*E27</f>
        <v/>
      </c>
      <c r="I27">
        <f>LOOKUP(A27,Cambi!$A$2:$A$255,Cambi!$B$2:$B$255)</f>
        <v/>
      </c>
      <c r="K27">
        <f>D27/I27</f>
        <v/>
      </c>
      <c r="L27">
        <f>L26+J27-K27</f>
        <v/>
      </c>
      <c r="M27" s="3">
        <f>F27</f>
        <v/>
      </c>
      <c r="N27">
        <f>M27*L27</f>
        <v/>
      </c>
      <c r="P27" s="2">
        <f>LOOKUP(A27,Cambi!$A$2:$A$255,Cambi!$A$2:$A$255)</f>
        <v/>
      </c>
    </row>
    <row r="28">
      <c r="A28" s="2" t="n">
        <v>45840</v>
      </c>
      <c r="B28" t="inlineStr"/>
      <c r="D28" t="n">
        <v>1480</v>
      </c>
      <c r="E28">
        <f>E27+C28-D28</f>
        <v/>
      </c>
      <c r="F28" s="3">
        <f>DAYS(A29,A28)</f>
        <v/>
      </c>
      <c r="G28">
        <f>F28*E28</f>
        <v/>
      </c>
      <c r="I28">
        <f>LOOKUP(A28,Cambi!$A$2:$A$255,Cambi!$B$2:$B$255)</f>
        <v/>
      </c>
      <c r="K28">
        <f>D28/I28</f>
        <v/>
      </c>
      <c r="L28">
        <f>L27+J28-K28</f>
        <v/>
      </c>
      <c r="M28" s="3">
        <f>F28</f>
        <v/>
      </c>
      <c r="N28">
        <f>M28*L28</f>
        <v/>
      </c>
      <c r="P28" s="2">
        <f>LOOKUP(A28,Cambi!$A$2:$A$255,Cambi!$A$2:$A$255)</f>
        <v/>
      </c>
    </row>
    <row r="29">
      <c r="A29" s="2" t="n">
        <v>45861</v>
      </c>
      <c r="B29" t="inlineStr"/>
      <c r="C29" t="n">
        <v>600</v>
      </c>
      <c r="E29">
        <f>E28+C29-D29</f>
        <v/>
      </c>
      <c r="F29" s="3">
        <f>DAYS(A30,A29)</f>
        <v/>
      </c>
      <c r="G29">
        <f>F29*E29</f>
        <v/>
      </c>
      <c r="I29">
        <f>LOOKUP(A29,Cambi!$A$2:$A$255,Cambi!$B$2:$B$255)</f>
        <v/>
      </c>
      <c r="J29">
        <f>C29/I29</f>
        <v/>
      </c>
      <c r="L29">
        <f>L28+J29-K29</f>
        <v/>
      </c>
      <c r="M29" s="3">
        <f>F29</f>
        <v/>
      </c>
      <c r="N29">
        <f>M29*L29</f>
        <v/>
      </c>
      <c r="P29" s="2">
        <f>LOOKUP(A29,Cambi!$A$2:$A$255,Cambi!$A$2:$A$255)</f>
        <v/>
      </c>
    </row>
    <row r="30">
      <c r="A30" s="2" t="n">
        <v>45863</v>
      </c>
      <c r="B30" t="inlineStr"/>
      <c r="C30" t="n">
        <v>4000</v>
      </c>
      <c r="E30">
        <f>E29+C30-D30</f>
        <v/>
      </c>
      <c r="F30" s="3">
        <f>DAYS(A31,A30)</f>
        <v/>
      </c>
      <c r="G30">
        <f>F30*E30</f>
        <v/>
      </c>
      <c r="I30">
        <f>LOOKUP(A30,Cambi!$A$2:$A$255,Cambi!$B$2:$B$255)</f>
        <v/>
      </c>
      <c r="J30">
        <f>C30/I30</f>
        <v/>
      </c>
      <c r="L30">
        <f>L29+J30-K30</f>
        <v/>
      </c>
      <c r="M30" s="3">
        <f>F30</f>
        <v/>
      </c>
      <c r="N30">
        <f>M30*L30</f>
        <v/>
      </c>
      <c r="P30" s="2">
        <f>LOOKUP(A30,Cambi!$A$2:$A$255,Cambi!$A$2:$A$255)</f>
        <v/>
      </c>
    </row>
    <row r="31">
      <c r="A31" s="2" t="n">
        <v>45863</v>
      </c>
      <c r="B31" t="inlineStr"/>
      <c r="D31" t="n">
        <v>4941.4</v>
      </c>
      <c r="E31">
        <f>E30+C31-D31</f>
        <v/>
      </c>
      <c r="F31" s="3">
        <f>DAYS(A32,A31)</f>
        <v/>
      </c>
      <c r="G31">
        <f>F31*E31</f>
        <v/>
      </c>
      <c r="I31">
        <f>LOOKUP(A31,Cambi!$A$2:$A$255,Cambi!$B$2:$B$255)</f>
        <v/>
      </c>
      <c r="K31">
        <f>D31/I31</f>
        <v/>
      </c>
      <c r="L31">
        <f>L30+J31-K31</f>
        <v/>
      </c>
      <c r="M31" s="3">
        <f>F31</f>
        <v/>
      </c>
      <c r="N31">
        <f>M31*L31</f>
        <v/>
      </c>
      <c r="P31" s="2">
        <f>LOOKUP(A31,Cambi!$A$2:$A$255,Cambi!$A$2:$A$255)</f>
        <v/>
      </c>
    </row>
    <row r="32">
      <c r="A32" s="2" t="n">
        <v>45876</v>
      </c>
      <c r="B32" t="inlineStr"/>
      <c r="C32" t="n">
        <v>1000</v>
      </c>
      <c r="E32">
        <f>E31+C32-D32</f>
        <v/>
      </c>
      <c r="F32" s="3">
        <f>DAYS(A33,A32)</f>
        <v/>
      </c>
      <c r="G32">
        <f>F32*E32</f>
        <v/>
      </c>
      <c r="I32">
        <f>LOOKUP(A32,Cambi!$A$2:$A$255,Cambi!$B$2:$B$255)</f>
        <v/>
      </c>
      <c r="J32">
        <f>C32/I32</f>
        <v/>
      </c>
      <c r="L32">
        <f>L31+J32-K32</f>
        <v/>
      </c>
      <c r="M32" s="3">
        <f>F32</f>
        <v/>
      </c>
      <c r="N32">
        <f>M32*L32</f>
        <v/>
      </c>
      <c r="P32" s="2">
        <f>LOOKUP(A32,Cambi!$A$2:$A$255,Cambi!$A$2:$A$255)</f>
        <v/>
      </c>
    </row>
    <row r="33">
      <c r="A33" s="2" t="n">
        <v>45888</v>
      </c>
      <c r="B33" t="inlineStr"/>
      <c r="D33" t="n">
        <v>180</v>
      </c>
      <c r="E33">
        <f>E32+C33-D33</f>
        <v/>
      </c>
      <c r="F33" s="3">
        <f>DAYS(A34,A33)</f>
        <v/>
      </c>
      <c r="G33">
        <f>F33*E33</f>
        <v/>
      </c>
      <c r="I33">
        <f>LOOKUP(A33,Cambi!$A$2:$A$255,Cambi!$B$2:$B$255)</f>
        <v/>
      </c>
      <c r="K33">
        <f>D33/I33</f>
        <v/>
      </c>
      <c r="L33">
        <f>L32+J33-K33</f>
        <v/>
      </c>
      <c r="M33" s="3">
        <f>F33</f>
        <v/>
      </c>
      <c r="N33">
        <f>M33*L33</f>
        <v/>
      </c>
      <c r="P33" s="2">
        <f>LOOKUP(A33,Cambi!$A$2:$A$255,Cambi!$A$2:$A$255)</f>
        <v/>
      </c>
    </row>
    <row r="34">
      <c r="A34" s="2" t="n">
        <v>45889</v>
      </c>
      <c r="B34" t="inlineStr"/>
      <c r="C34" t="n">
        <v>600</v>
      </c>
      <c r="E34">
        <f>E33+C34-D34</f>
        <v/>
      </c>
      <c r="F34" s="3">
        <f>DAYS(A35,A34)</f>
        <v/>
      </c>
      <c r="G34">
        <f>F34*E34</f>
        <v/>
      </c>
      <c r="I34">
        <f>LOOKUP(A34,Cambi!$A$2:$A$255,Cambi!$B$2:$B$255)</f>
        <v/>
      </c>
      <c r="J34">
        <f>C34/I34</f>
        <v/>
      </c>
      <c r="L34">
        <f>L33+J34-K34</f>
        <v/>
      </c>
      <c r="M34" s="3">
        <f>F34</f>
        <v/>
      </c>
      <c r="N34">
        <f>M34*L34</f>
        <v/>
      </c>
      <c r="P34" s="2">
        <f>LOOKUP(A34,Cambi!$A$2:$A$255,Cambi!$A$2:$A$255)</f>
        <v/>
      </c>
    </row>
    <row r="35">
      <c r="A35" s="2" t="n">
        <v>45905</v>
      </c>
      <c r="B35" t="inlineStr"/>
      <c r="C35" t="n">
        <v>1000</v>
      </c>
      <c r="E35">
        <f>E34+C35-D35</f>
        <v/>
      </c>
      <c r="F35" s="3">
        <f>DAYS(A36,A35)</f>
        <v/>
      </c>
      <c r="G35">
        <f>F35*E35</f>
        <v/>
      </c>
      <c r="I35">
        <f>LOOKUP(A35,Cambi!$A$2:$A$255,Cambi!$B$2:$B$255)</f>
        <v/>
      </c>
      <c r="J35">
        <f>C35/I35</f>
        <v/>
      </c>
      <c r="L35">
        <f>L34+J35-K35</f>
        <v/>
      </c>
      <c r="M35" s="3">
        <f>F35</f>
        <v/>
      </c>
      <c r="N35">
        <f>M35*L35</f>
        <v/>
      </c>
      <c r="P35" s="2">
        <f>LOOKUP(A35,Cambi!$A$2:$A$255,Cambi!$A$2:$A$255)</f>
        <v/>
      </c>
    </row>
    <row r="36">
      <c r="A36" s="2" t="n">
        <v>45920</v>
      </c>
      <c r="B36" t="inlineStr"/>
      <c r="C36" t="n">
        <v>600</v>
      </c>
      <c r="E36">
        <f>E35+C36-D36</f>
        <v/>
      </c>
      <c r="F36" s="3">
        <f>DAYS(A37,A36)</f>
        <v/>
      </c>
      <c r="G36">
        <f>F36*E36</f>
        <v/>
      </c>
      <c r="I36">
        <f>LOOKUP(A36,Cambi!$A$2:$A$255,Cambi!$B$2:$B$255)</f>
        <v/>
      </c>
      <c r="J36">
        <f>C36/I36</f>
        <v/>
      </c>
      <c r="L36">
        <f>L35+J36-K36</f>
        <v/>
      </c>
      <c r="M36" s="3">
        <f>F36</f>
        <v/>
      </c>
      <c r="N36">
        <f>M36*L36</f>
        <v/>
      </c>
      <c r="P36" s="2">
        <f>LOOKUP(A36,Cambi!$A$2:$A$255,Cambi!$A$2:$A$255)</f>
        <v/>
      </c>
    </row>
    <row r="37">
      <c r="A37" s="2" t="n">
        <v>45927</v>
      </c>
      <c r="B37" t="inlineStr"/>
      <c r="D37" t="n">
        <v>2000</v>
      </c>
      <c r="E37">
        <f>E36+C37-D37</f>
        <v/>
      </c>
      <c r="F37" s="3">
        <f>DAYS(A38,A37)</f>
        <v/>
      </c>
      <c r="G37">
        <f>F37*E37</f>
        <v/>
      </c>
      <c r="I37">
        <f>LOOKUP(A37,Cambi!$A$2:$A$255,Cambi!$B$2:$B$255)</f>
        <v/>
      </c>
      <c r="K37">
        <f>D37/I37</f>
        <v/>
      </c>
      <c r="L37">
        <f>L36+J37-K37</f>
        <v/>
      </c>
      <c r="M37" s="3">
        <f>F37</f>
        <v/>
      </c>
      <c r="N37">
        <f>M37*L37</f>
        <v/>
      </c>
      <c r="P37" s="2">
        <f>LOOKUP(A37,Cambi!$A$2:$A$255,Cambi!$A$2:$A$255)</f>
        <v/>
      </c>
    </row>
    <row r="38">
      <c r="A38" s="2" t="n">
        <v>45940</v>
      </c>
      <c r="B38" t="inlineStr"/>
      <c r="C38" t="n">
        <v>1000</v>
      </c>
      <c r="E38">
        <f>E37+C38-D38</f>
        <v/>
      </c>
      <c r="F38" s="3">
        <f>DAYS(A39,A38)</f>
        <v/>
      </c>
      <c r="G38">
        <f>F38*E38</f>
        <v/>
      </c>
      <c r="I38">
        <f>LOOKUP(A38,Cambi!$A$2:$A$255,Cambi!$B$2:$B$255)</f>
        <v/>
      </c>
      <c r="J38">
        <f>C38/I38</f>
        <v/>
      </c>
      <c r="L38">
        <f>L37+J38-K38</f>
        <v/>
      </c>
      <c r="M38" s="3">
        <f>F38</f>
        <v/>
      </c>
      <c r="N38">
        <f>M38*L38</f>
        <v/>
      </c>
      <c r="P38" s="2">
        <f>LOOKUP(A38,Cambi!$A$2:$A$255,Cambi!$A$2:$A$255)</f>
        <v/>
      </c>
    </row>
    <row r="39">
      <c r="A39" s="2" t="n">
        <v>45949</v>
      </c>
      <c r="B39" t="inlineStr"/>
      <c r="C39" t="n">
        <v>600</v>
      </c>
      <c r="E39">
        <f>E38+C39-D39</f>
        <v/>
      </c>
      <c r="F39" s="3">
        <f>DAYS(A40,A39)</f>
        <v/>
      </c>
      <c r="G39">
        <f>F39*E39</f>
        <v/>
      </c>
      <c r="I39">
        <f>LOOKUP(A39,Cambi!$A$2:$A$255,Cambi!$B$2:$B$255)</f>
        <v/>
      </c>
      <c r="J39">
        <f>C39/I39</f>
        <v/>
      </c>
      <c r="L39">
        <f>L38+J39-K39</f>
        <v/>
      </c>
      <c r="M39" s="3">
        <f>F39</f>
        <v/>
      </c>
      <c r="N39">
        <f>M39*L39</f>
        <v/>
      </c>
      <c r="P39" s="2">
        <f>LOOKUP(A39,Cambi!$A$2:$A$255,Cambi!$A$2:$A$255)</f>
        <v/>
      </c>
    </row>
    <row r="40">
      <c r="A40" s="2" t="n">
        <v>45965</v>
      </c>
      <c r="B40" t="inlineStr"/>
      <c r="C40" t="n">
        <v>1000</v>
      </c>
      <c r="E40">
        <f>E39+C40-D40</f>
        <v/>
      </c>
      <c r="F40" s="3">
        <f>DAYS(A41,A40)</f>
        <v/>
      </c>
      <c r="G40">
        <f>F40*E40</f>
        <v/>
      </c>
      <c r="I40">
        <f>LOOKUP(A40,Cambi!$A$2:$A$255,Cambi!$B$2:$B$255)</f>
        <v/>
      </c>
      <c r="J40">
        <f>C40/I40</f>
        <v/>
      </c>
      <c r="L40">
        <f>L39+J40-K40</f>
        <v/>
      </c>
      <c r="M40" s="3">
        <f>F40</f>
        <v/>
      </c>
      <c r="N40">
        <f>M40*L40</f>
        <v/>
      </c>
      <c r="P40" s="2">
        <f>LOOKUP(A40,Cambi!$A$2:$A$255,Cambi!$A$2:$A$255)</f>
        <v/>
      </c>
    </row>
    <row r="41">
      <c r="A41" s="2" t="n">
        <v>45977</v>
      </c>
      <c r="B41" t="inlineStr"/>
      <c r="D41" t="n">
        <v>2000</v>
      </c>
      <c r="E41">
        <f>E40+C41-D41</f>
        <v/>
      </c>
      <c r="F41" s="3">
        <f>DAYS(A42,A41)</f>
        <v/>
      </c>
      <c r="G41">
        <f>F41*E41</f>
        <v/>
      </c>
      <c r="I41">
        <f>LOOKUP(A41,Cambi!$A$2:$A$255,Cambi!$B$2:$B$255)</f>
        <v/>
      </c>
      <c r="K41">
        <f>D41/I41</f>
        <v/>
      </c>
      <c r="L41">
        <f>L40+J41-K41</f>
        <v/>
      </c>
      <c r="M41" s="3">
        <f>F41</f>
        <v/>
      </c>
      <c r="N41">
        <f>M41*L41</f>
        <v/>
      </c>
      <c r="P41" s="2">
        <f>LOOKUP(A41,Cambi!$A$2:$A$255,Cambi!$A$2:$A$255)</f>
        <v/>
      </c>
    </row>
    <row r="42">
      <c r="A42" s="2" t="n">
        <v>45987</v>
      </c>
      <c r="B42" t="inlineStr"/>
      <c r="C42" t="n">
        <v>600</v>
      </c>
      <c r="E42">
        <f>E41+C42-D42</f>
        <v/>
      </c>
      <c r="F42" s="3">
        <f>DAYS(A43,A42)</f>
        <v/>
      </c>
      <c r="G42">
        <f>F42*E42</f>
        <v/>
      </c>
      <c r="I42">
        <f>LOOKUP(A42,Cambi!$A$2:$A$255,Cambi!$B$2:$B$255)</f>
        <v/>
      </c>
      <c r="J42">
        <f>C42/I42</f>
        <v/>
      </c>
      <c r="L42">
        <f>L41+J42-K42</f>
        <v/>
      </c>
      <c r="M42" s="3">
        <f>F42</f>
        <v/>
      </c>
      <c r="N42">
        <f>M42*L42</f>
        <v/>
      </c>
      <c r="P42" s="2">
        <f>LOOKUP(A42,Cambi!$A$2:$A$255,Cambi!$A$2:$A$255)</f>
        <v/>
      </c>
    </row>
    <row r="43">
      <c r="A43" s="2" t="n">
        <v>45993</v>
      </c>
      <c r="B43" t="inlineStr"/>
      <c r="D43" t="n">
        <v>1768.3</v>
      </c>
      <c r="E43">
        <f>E42+C43-D43</f>
        <v/>
      </c>
      <c r="F43" s="3">
        <f>DAYS(A44,A43)</f>
        <v/>
      </c>
      <c r="G43">
        <f>F43*E43</f>
        <v/>
      </c>
      <c r="I43">
        <f>LOOKUP(A43,Cambi!$A$2:$A$255,Cambi!$B$2:$B$255)</f>
        <v/>
      </c>
      <c r="K43">
        <f>D43/I43</f>
        <v/>
      </c>
      <c r="L43">
        <f>L42+J43-K43</f>
        <v/>
      </c>
      <c r="M43" s="3">
        <f>F43</f>
        <v/>
      </c>
      <c r="N43">
        <f>M43*L43</f>
        <v/>
      </c>
      <c r="P43" s="2">
        <f>LOOKUP(A43,Cambi!$A$2:$A$255,Cambi!$A$2:$A$255)</f>
        <v/>
      </c>
    </row>
    <row r="44">
      <c r="A44" s="2" t="n">
        <v>45995</v>
      </c>
      <c r="B44" t="inlineStr"/>
      <c r="C44" t="n">
        <v>1000</v>
      </c>
      <c r="E44">
        <f>E43+C44-D44</f>
        <v/>
      </c>
      <c r="F44" s="3">
        <f>DAYS(A45,A44)</f>
        <v/>
      </c>
      <c r="G44">
        <f>F44*E44</f>
        <v/>
      </c>
      <c r="I44">
        <f>LOOKUP(A44,Cambi!$A$2:$A$255,Cambi!$B$2:$B$255)</f>
        <v/>
      </c>
      <c r="J44">
        <f>C44/I44</f>
        <v/>
      </c>
      <c r="L44">
        <f>L43+J44-K44</f>
        <v/>
      </c>
      <c r="M44" s="3">
        <f>F44</f>
        <v/>
      </c>
      <c r="N44">
        <f>M44*L44</f>
        <v/>
      </c>
      <c r="P44" s="2">
        <f>LOOKUP(A44,Cambi!$A$2:$A$255,Cambi!$A$2:$A$255)</f>
        <v/>
      </c>
    </row>
    <row r="45">
      <c r="A45" s="2" t="n">
        <v>46011</v>
      </c>
      <c r="B45" t="inlineStr"/>
      <c r="C45" t="n">
        <v>600</v>
      </c>
      <c r="E45">
        <f>E44+C45-D45</f>
        <v/>
      </c>
      <c r="F45" s="3" t="n">
        <v>0</v>
      </c>
      <c r="G45">
        <f>F45*E45</f>
        <v/>
      </c>
      <c r="I45">
        <f>LOOKUP(A45,Cambi!$A$2:$A$255,Cambi!$B$2:$B$255)</f>
        <v/>
      </c>
      <c r="J45">
        <f>C45/I45</f>
        <v/>
      </c>
      <c r="L45">
        <f>L44+J45-K45</f>
        <v/>
      </c>
      <c r="M45" s="3">
        <f>F45</f>
        <v/>
      </c>
      <c r="N45">
        <f>M45*L45</f>
        <v/>
      </c>
      <c r="P45" s="2">
        <f>LOOKUP(A45,Cambi!$A$2:$A$255,Cambi!$A$2:$A$255)</f>
        <v/>
      </c>
    </row>
    <row r="47">
      <c r="B47" s="1" t="inlineStr">
        <is>
          <t>giacenza media (EUR)</t>
        </is>
      </c>
      <c r="N47">
        <f>SUM(N2:N45)/SUM(M2:M45)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data</t>
        </is>
      </c>
      <c r="B1" s="1" t="inlineStr">
        <is>
          <t>cambio GBP per 1 EUR</t>
        </is>
      </c>
      <c r="C1" s="1" t="inlineStr">
        <is>
          <t>fonte</t>
        </is>
      </c>
    </row>
    <row r="2">
      <c r="A2" s="2" t="n">
        <v>45649</v>
      </c>
      <c r="B2" t="n">
        <v>0.82995</v>
      </c>
      <c r="C2" t="inlineStr">
        <is>
          <t>Banca d'Italia - tassi di cambio (ex UIC)</t>
        </is>
      </c>
    </row>
    <row r="3">
      <c r="A3" s="2" t="n">
        <v>45650</v>
      </c>
      <c r="B3" t="n">
        <v>0.82805</v>
      </c>
      <c r="C3" t="inlineStr">
        <is>
          <t>Banca d'Italia - tassi di cambio (ex UIC)</t>
        </is>
      </c>
    </row>
    <row r="4">
      <c r="A4" s="2" t="n">
        <v>45653</v>
      </c>
      <c r="B4" t="n">
        <v>0.8309800000000001</v>
      </c>
      <c r="C4" t="inlineStr">
        <is>
          <t>Banca d'Italia - tassi di cambio (ex UIC)</t>
        </is>
      </c>
    </row>
    <row r="5">
      <c r="A5" s="2" t="n">
        <v>45656</v>
      </c>
      <c r="B5" t="n">
        <v>0.8295</v>
      </c>
      <c r="C5" t="inlineStr">
        <is>
          <t>Banca d'Italia - tassi di cambio (ex UIC)</t>
        </is>
      </c>
    </row>
    <row r="6">
      <c r="A6" s="2" t="n">
        <v>45657</v>
      </c>
      <c r="B6" t="n">
        <v>0.82918</v>
      </c>
      <c r="C6" t="inlineStr">
        <is>
          <t>Banca d'Italia - tassi di cambio (ex UIC)</t>
        </is>
      </c>
    </row>
    <row r="7">
      <c r="A7" s="2" t="n">
        <v>45659</v>
      </c>
      <c r="B7" t="n">
        <v>0.83118</v>
      </c>
      <c r="C7" t="inlineStr">
        <is>
          <t>Banca d'Italia - tassi di cambio (ex UIC)</t>
        </is>
      </c>
    </row>
    <row r="8">
      <c r="A8" s="2" t="n">
        <v>45660</v>
      </c>
      <c r="B8" t="n">
        <v>0.8299299999999999</v>
      </c>
      <c r="C8" t="inlineStr">
        <is>
          <t>Banca d'Italia - tassi di cambio (ex UIC)</t>
        </is>
      </c>
    </row>
    <row r="9">
      <c r="A9" s="2" t="n">
        <v>45663</v>
      </c>
      <c r="B9" t="n">
        <v>0.8309800000000001</v>
      </c>
      <c r="C9" t="inlineStr">
        <is>
          <t>Banca d'Italia - tassi di cambio (ex UIC)</t>
        </is>
      </c>
    </row>
    <row r="10">
      <c r="A10" s="2" t="n">
        <v>45664</v>
      </c>
      <c r="B10" t="n">
        <v>0.8291500000000001</v>
      </c>
      <c r="C10" t="inlineStr">
        <is>
          <t>Banca d'Italia - tassi di cambio (ex UIC)</t>
        </is>
      </c>
    </row>
    <row r="11">
      <c r="A11" s="2" t="n">
        <v>45665</v>
      </c>
      <c r="B11" t="n">
        <v>0.83403</v>
      </c>
      <c r="C11" t="inlineStr">
        <is>
          <t>Banca d'Italia - tassi di cambio (ex UIC)</t>
        </is>
      </c>
    </row>
    <row r="12">
      <c r="A12" s="2" t="n">
        <v>45666</v>
      </c>
      <c r="B12" t="n">
        <v>0.83808</v>
      </c>
      <c r="C12" t="inlineStr">
        <is>
          <t>Banca d'Italia - tassi di cambio (ex UIC)</t>
        </is>
      </c>
    </row>
    <row r="13">
      <c r="A13" s="2" t="n">
        <v>45667</v>
      </c>
      <c r="B13" t="n">
        <v>0.83693</v>
      </c>
      <c r="C13" t="inlineStr">
        <is>
          <t>Banca d'Italia - tassi di cambio (ex UIC)</t>
        </is>
      </c>
    </row>
    <row r="14">
      <c r="A14" s="2" t="n">
        <v>45670</v>
      </c>
      <c r="B14" t="n">
        <v>0.8416</v>
      </c>
      <c r="C14" t="inlineStr">
        <is>
          <t>Banca d'Italia - tassi di cambio (ex UIC)</t>
        </is>
      </c>
    </row>
    <row r="15">
      <c r="A15" s="2" t="n">
        <v>45671</v>
      </c>
      <c r="B15" t="n">
        <v>0.84288</v>
      </c>
      <c r="C15" t="inlineStr">
        <is>
          <t>Banca d'Italia - tassi di cambio (ex UIC)</t>
        </is>
      </c>
    </row>
    <row r="16">
      <c r="A16" s="2" t="n">
        <v>45672</v>
      </c>
      <c r="B16" t="n">
        <v>0.84313</v>
      </c>
      <c r="C16" t="inlineStr">
        <is>
          <t>Banca d'Italia - tassi di cambio (ex UIC)</t>
        </is>
      </c>
    </row>
    <row r="17">
      <c r="A17" s="2" t="n">
        <v>45673</v>
      </c>
      <c r="B17" t="n">
        <v>0.84258</v>
      </c>
      <c r="C17" t="inlineStr">
        <is>
          <t>Banca d'Italia - tassi di cambio (ex UIC)</t>
        </is>
      </c>
    </row>
    <row r="18">
      <c r="A18" s="2" t="n">
        <v>45674</v>
      </c>
      <c r="B18" t="n">
        <v>0.84453</v>
      </c>
      <c r="C18" t="inlineStr">
        <is>
          <t>Banca d'Italia - tassi di cambio (ex UIC)</t>
        </is>
      </c>
    </row>
    <row r="19">
      <c r="A19" s="2" t="n">
        <v>45677</v>
      </c>
      <c r="B19" t="n">
        <v>0.84588</v>
      </c>
      <c r="C19" t="inlineStr">
        <is>
          <t>Banca d'Italia - tassi di cambio (ex UIC)</t>
        </is>
      </c>
    </row>
    <row r="20">
      <c r="A20" s="2" t="n">
        <v>45678</v>
      </c>
      <c r="B20" t="n">
        <v>0.84553</v>
      </c>
      <c r="C20" t="inlineStr">
        <is>
          <t>Banca d'Italia - tassi di cambio (ex UIC)</t>
        </is>
      </c>
    </row>
    <row r="21">
      <c r="A21" s="2" t="n">
        <v>45679</v>
      </c>
      <c r="B21" t="n">
        <v>0.84466</v>
      </c>
      <c r="C21" t="inlineStr">
        <is>
          <t>Banca d'Italia - tassi di cambio (ex UIC)</t>
        </is>
      </c>
    </row>
    <row r="22">
      <c r="A22" s="2" t="n">
        <v>45680</v>
      </c>
      <c r="B22" t="n">
        <v>0.84468</v>
      </c>
      <c r="C22" t="inlineStr">
        <is>
          <t>Banca d'Italia - tassi di cambio (ex UIC)</t>
        </is>
      </c>
    </row>
    <row r="23">
      <c r="A23" s="2" t="n">
        <v>45681</v>
      </c>
      <c r="B23" t="n">
        <v>0.84413</v>
      </c>
      <c r="C23" t="inlineStr">
        <is>
          <t>Banca d'Italia - tassi di cambio (ex UIC)</t>
        </is>
      </c>
    </row>
    <row r="24">
      <c r="A24" s="2" t="n">
        <v>45684</v>
      </c>
      <c r="B24" t="n">
        <v>0.84106</v>
      </c>
      <c r="C24" t="inlineStr">
        <is>
          <t>Banca d'Italia - tassi di cambio (ex UIC)</t>
        </is>
      </c>
    </row>
    <row r="25">
      <c r="A25" s="2" t="n">
        <v>45685</v>
      </c>
      <c r="B25" t="n">
        <v>0.83868</v>
      </c>
      <c r="C25" t="inlineStr">
        <is>
          <t>Banca d'Italia - tassi di cambio (ex UIC)</t>
        </is>
      </c>
    </row>
    <row r="26">
      <c r="A26" s="2" t="n">
        <v>45686</v>
      </c>
      <c r="B26" t="n">
        <v>0.83723</v>
      </c>
      <c r="C26" t="inlineStr">
        <is>
          <t>Banca d'Italia - tassi di cambio (ex UIC)</t>
        </is>
      </c>
    </row>
    <row r="27">
      <c r="A27" s="2" t="n">
        <v>45687</v>
      </c>
      <c r="B27" t="n">
        <v>0.83685</v>
      </c>
      <c r="C27" t="inlineStr">
        <is>
          <t>Banca d'Italia - tassi di cambio (ex UIC)</t>
        </is>
      </c>
    </row>
    <row r="28">
      <c r="A28" s="2" t="n">
        <v>45688</v>
      </c>
      <c r="B28" t="n">
        <v>0.83608</v>
      </c>
      <c r="C28" t="inlineStr">
        <is>
          <t>Banca d'Italia - tassi di cambio (ex UIC)</t>
        </is>
      </c>
    </row>
    <row r="29">
      <c r="A29" s="2" t="n">
        <v>45691</v>
      </c>
      <c r="B29" t="n">
        <v>0.83136</v>
      </c>
      <c r="C29" t="inlineStr">
        <is>
          <t>Banca d'Italia - tassi di cambio (ex UIC)</t>
        </is>
      </c>
    </row>
    <row r="30">
      <c r="A30" s="2" t="n">
        <v>45692</v>
      </c>
      <c r="B30" t="n">
        <v>0.83188</v>
      </c>
      <c r="C30" t="inlineStr">
        <is>
          <t>Banca d'Italia - tassi di cambio (ex UIC)</t>
        </is>
      </c>
    </row>
    <row r="31">
      <c r="A31" s="2" t="n">
        <v>45693</v>
      </c>
      <c r="B31" t="n">
        <v>0.83085</v>
      </c>
      <c r="C31" t="inlineStr">
        <is>
          <t>Banca d'Italia - tassi di cambio (ex UIC)</t>
        </is>
      </c>
    </row>
    <row r="32">
      <c r="A32" s="2" t="n">
        <v>45694</v>
      </c>
      <c r="B32" t="n">
        <v>0.83688</v>
      </c>
      <c r="C32" t="inlineStr">
        <is>
          <t>Banca d'Italia - tassi di cambio (ex UIC)</t>
        </is>
      </c>
    </row>
    <row r="33">
      <c r="A33" s="2" t="n">
        <v>45695</v>
      </c>
      <c r="B33" t="n">
        <v>0.83353</v>
      </c>
      <c r="C33" t="inlineStr">
        <is>
          <t>Banca d'Italia - tassi di cambio (ex UIC)</t>
        </is>
      </c>
    </row>
    <row r="34">
      <c r="A34" s="2" t="n">
        <v>45698</v>
      </c>
      <c r="B34" t="n">
        <v>0.83283</v>
      </c>
      <c r="C34" t="inlineStr">
        <is>
          <t>Banca d'Italia - tassi di cambio (ex UIC)</t>
        </is>
      </c>
    </row>
    <row r="35">
      <c r="A35" s="2" t="n">
        <v>45699</v>
      </c>
      <c r="B35" t="n">
        <v>0.83355</v>
      </c>
      <c r="C35" t="inlineStr">
        <is>
          <t>Banca d'Italia - tassi di cambio (ex UIC)</t>
        </is>
      </c>
    </row>
    <row r="36">
      <c r="A36" s="2" t="n">
        <v>45700</v>
      </c>
      <c r="B36" t="n">
        <v>0.83338</v>
      </c>
      <c r="C36" t="inlineStr">
        <is>
          <t>Banca d'Italia - tassi di cambio (ex UIC)</t>
        </is>
      </c>
    </row>
    <row r="37">
      <c r="A37" s="2" t="n">
        <v>45701</v>
      </c>
      <c r="B37" t="n">
        <v>0.83313</v>
      </c>
      <c r="C37" t="inlineStr">
        <is>
          <t>Banca d'Italia - tassi di cambio (ex UIC)</t>
        </is>
      </c>
    </row>
    <row r="38">
      <c r="A38" s="2" t="n">
        <v>45702</v>
      </c>
      <c r="B38" t="n">
        <v>0.8321499999999999</v>
      </c>
      <c r="C38" t="inlineStr">
        <is>
          <t>Banca d'Italia - tassi di cambio (ex UIC)</t>
        </is>
      </c>
    </row>
    <row r="39">
      <c r="A39" s="2" t="n">
        <v>45705</v>
      </c>
      <c r="B39" t="n">
        <v>0.83133</v>
      </c>
      <c r="C39" t="inlineStr">
        <is>
          <t>Banca d'Italia - tassi di cambio (ex UIC)</t>
        </is>
      </c>
    </row>
    <row r="40">
      <c r="A40" s="2" t="n">
        <v>45706</v>
      </c>
      <c r="B40" t="n">
        <v>0.83025</v>
      </c>
      <c r="C40" t="inlineStr">
        <is>
          <t>Banca d'Italia - tassi di cambio (ex UIC)</t>
        </is>
      </c>
    </row>
    <row r="41">
      <c r="A41" s="2" t="n">
        <v>45707</v>
      </c>
      <c r="B41" t="n">
        <v>0.82838</v>
      </c>
      <c r="C41" t="inlineStr">
        <is>
          <t>Banca d'Italia - tassi di cambio (ex UIC)</t>
        </is>
      </c>
    </row>
    <row r="42">
      <c r="A42" s="2" t="n">
        <v>45708</v>
      </c>
      <c r="B42" t="n">
        <v>0.82823</v>
      </c>
      <c r="C42" t="inlineStr">
        <is>
          <t>Banca d'Italia - tassi di cambio (ex UIC)</t>
        </is>
      </c>
    </row>
    <row r="43">
      <c r="A43" s="2" t="n">
        <v>45709</v>
      </c>
      <c r="B43" t="n">
        <v>0.8276</v>
      </c>
      <c r="C43" t="inlineStr">
        <is>
          <t>Banca d'Italia - tassi di cambio (ex UIC)</t>
        </is>
      </c>
    </row>
    <row r="44">
      <c r="A44" s="2" t="n">
        <v>45712</v>
      </c>
      <c r="B44" t="n">
        <v>0.8283</v>
      </c>
      <c r="C44" t="inlineStr">
        <is>
          <t>Banca d'Italia - tassi di cambio (ex UIC)</t>
        </is>
      </c>
    </row>
    <row r="45">
      <c r="A45" s="2" t="n">
        <v>45713</v>
      </c>
      <c r="B45" t="n">
        <v>0.82908</v>
      </c>
      <c r="C45" t="inlineStr">
        <is>
          <t>Banca d'Italia - tassi di cambio (ex UIC)</t>
        </is>
      </c>
    </row>
    <row r="46">
      <c r="A46" s="2" t="n">
        <v>45714</v>
      </c>
      <c r="B46" t="n">
        <v>0.82868</v>
      </c>
      <c r="C46" t="inlineStr">
        <is>
          <t>Banca d'Italia - tassi di cambio (ex UIC)</t>
        </is>
      </c>
    </row>
    <row r="47">
      <c r="A47" s="2" t="n">
        <v>45715</v>
      </c>
      <c r="B47" t="n">
        <v>0.82673</v>
      </c>
      <c r="C47" t="inlineStr">
        <is>
          <t>Banca d'Italia - tassi di cambio (ex UIC)</t>
        </is>
      </c>
    </row>
    <row r="48">
      <c r="A48" s="2" t="n">
        <v>45716</v>
      </c>
      <c r="B48" t="n">
        <v>0.82608</v>
      </c>
      <c r="C48" t="inlineStr">
        <is>
          <t>Banca d'Italia - tassi di cambio (ex UIC)</t>
        </is>
      </c>
    </row>
    <row r="49">
      <c r="A49" s="2" t="n">
        <v>45719</v>
      </c>
      <c r="B49" t="n">
        <v>0.8253</v>
      </c>
      <c r="C49" t="inlineStr">
        <is>
          <t>Banca d'Italia - tassi di cambio (ex UIC)</t>
        </is>
      </c>
    </row>
    <row r="50">
      <c r="A50" s="2" t="n">
        <v>45720</v>
      </c>
      <c r="B50" t="n">
        <v>0.8278799999999999</v>
      </c>
      <c r="C50" t="inlineStr">
        <is>
          <t>Banca d'Italia - tassi di cambio (ex UIC)</t>
        </is>
      </c>
    </row>
    <row r="51">
      <c r="A51" s="2" t="n">
        <v>45721</v>
      </c>
      <c r="B51" t="n">
        <v>0.835</v>
      </c>
      <c r="C51" t="inlineStr">
        <is>
          <t>Banca d'Italia - tassi di cambio (ex UIC)</t>
        </is>
      </c>
    </row>
    <row r="52">
      <c r="A52" s="2" t="n">
        <v>45722</v>
      </c>
      <c r="B52" t="n">
        <v>0.8379</v>
      </c>
      <c r="C52" t="inlineStr">
        <is>
          <t>Banca d'Italia - tassi di cambio (ex UIC)</t>
        </is>
      </c>
    </row>
    <row r="53">
      <c r="A53" s="2" t="n">
        <v>45723</v>
      </c>
      <c r="B53" t="n">
        <v>0.84088</v>
      </c>
      <c r="C53" t="inlineStr">
        <is>
          <t>Banca d'Italia - tassi di cambio (ex UIC)</t>
        </is>
      </c>
    </row>
    <row r="54">
      <c r="A54" s="2" t="n">
        <v>45726</v>
      </c>
      <c r="B54" t="n">
        <v>0.83849</v>
      </c>
      <c r="C54" t="inlineStr">
        <is>
          <t>Banca d'Italia - tassi di cambio (ex UIC)</t>
        </is>
      </c>
    </row>
    <row r="55">
      <c r="A55" s="2" t="n">
        <v>45727</v>
      </c>
      <c r="B55" t="n">
        <v>0.84374</v>
      </c>
      <c r="C55" t="inlineStr">
        <is>
          <t>Banca d'Italia - tassi di cambio (ex UIC)</t>
        </is>
      </c>
    </row>
    <row r="56">
      <c r="A56" s="2" t="n">
        <v>45728</v>
      </c>
      <c r="B56" t="n">
        <v>0.84078</v>
      </c>
      <c r="C56" t="inlineStr">
        <is>
          <t>Banca d'Italia - tassi di cambio (ex UIC)</t>
        </is>
      </c>
    </row>
    <row r="57">
      <c r="A57" s="2" t="n">
        <v>45729</v>
      </c>
      <c r="B57" t="n">
        <v>0.83778</v>
      </c>
      <c r="C57" t="inlineStr">
        <is>
          <t>Banca d'Italia - tassi di cambio (ex UIC)</t>
        </is>
      </c>
    </row>
    <row r="58">
      <c r="A58" s="2" t="n">
        <v>45730</v>
      </c>
      <c r="B58" t="n">
        <v>0.84183</v>
      </c>
      <c r="C58" t="inlineStr">
        <is>
          <t>Banca d'Italia - tassi di cambio (ex UIC)</t>
        </is>
      </c>
    </row>
    <row r="59">
      <c r="A59" s="2" t="n">
        <v>45733</v>
      </c>
      <c r="B59" t="n">
        <v>0.84026</v>
      </c>
      <c r="C59" t="inlineStr">
        <is>
          <t>Banca d'Italia - tassi di cambio (ex UIC)</t>
        </is>
      </c>
    </row>
    <row r="60">
      <c r="A60" s="2" t="n">
        <v>45734</v>
      </c>
      <c r="B60" t="n">
        <v>0.84173</v>
      </c>
      <c r="C60" t="inlineStr">
        <is>
          <t>Banca d'Italia - tassi di cambio (ex UIC)</t>
        </is>
      </c>
    </row>
    <row r="61">
      <c r="A61" s="2" t="n">
        <v>45735</v>
      </c>
      <c r="B61" t="n">
        <v>0.84078</v>
      </c>
      <c r="C61" t="inlineStr">
        <is>
          <t>Banca d'Italia - tassi di cambio (ex UIC)</t>
        </is>
      </c>
    </row>
    <row r="62">
      <c r="A62" s="2" t="n">
        <v>45736</v>
      </c>
      <c r="B62" t="n">
        <v>0.8369</v>
      </c>
      <c r="C62" t="inlineStr">
        <is>
          <t>Banca d'Italia - tassi di cambio (ex UIC)</t>
        </is>
      </c>
    </row>
    <row r="63">
      <c r="A63" s="2" t="n">
        <v>45737</v>
      </c>
      <c r="B63" t="n">
        <v>0.83765</v>
      </c>
      <c r="C63" t="inlineStr">
        <is>
          <t>Banca d'Italia - tassi di cambio (ex UIC)</t>
        </is>
      </c>
    </row>
    <row r="64">
      <c r="A64" s="2" t="n">
        <v>45740</v>
      </c>
      <c r="B64" t="n">
        <v>0.83663</v>
      </c>
      <c r="C64" t="inlineStr">
        <is>
          <t>Banca d'Italia - tassi di cambio (ex UIC)</t>
        </is>
      </c>
    </row>
    <row r="65">
      <c r="A65" s="2" t="n">
        <v>45741</v>
      </c>
      <c r="B65" t="n">
        <v>0.83565</v>
      </c>
      <c r="C65" t="inlineStr">
        <is>
          <t>Banca d'Italia - tassi di cambio (ex UIC)</t>
        </is>
      </c>
    </row>
    <row r="66">
      <c r="A66" s="2" t="n">
        <v>45742</v>
      </c>
      <c r="B66" t="n">
        <v>0.83623</v>
      </c>
      <c r="C66" t="inlineStr">
        <is>
          <t>Banca d'Italia - tassi di cambio (ex UIC)</t>
        </is>
      </c>
    </row>
    <row r="67">
      <c r="A67" s="2" t="n">
        <v>45743</v>
      </c>
      <c r="B67" t="n">
        <v>0.83318</v>
      </c>
      <c r="C67" t="inlineStr">
        <is>
          <t>Banca d'Italia - tassi di cambio (ex UIC)</t>
        </is>
      </c>
    </row>
    <row r="68">
      <c r="A68" s="2" t="n">
        <v>45744</v>
      </c>
      <c r="B68" t="n">
        <v>0.83358</v>
      </c>
      <c r="C68" t="inlineStr">
        <is>
          <t>Banca d'Italia - tassi di cambio (ex UIC)</t>
        </is>
      </c>
    </row>
    <row r="69">
      <c r="A69" s="2" t="n">
        <v>45747</v>
      </c>
      <c r="B69" t="n">
        <v>0.83536</v>
      </c>
      <c r="C69" t="inlineStr">
        <is>
          <t>Banca d'Italia - tassi di cambio (ex UIC)</t>
        </is>
      </c>
    </row>
    <row r="70">
      <c r="A70" s="2" t="n">
        <v>45748</v>
      </c>
      <c r="B70" t="n">
        <v>0.83665</v>
      </c>
      <c r="C70" t="inlineStr">
        <is>
          <t>Banca d'Italia - tassi di cambio (ex UIC)</t>
        </is>
      </c>
    </row>
    <row r="71">
      <c r="A71" s="2" t="n">
        <v>45749</v>
      </c>
      <c r="B71" t="n">
        <v>0.83455</v>
      </c>
      <c r="C71" t="inlineStr">
        <is>
          <t>Banca d'Italia - tassi di cambio (ex UIC)</t>
        </is>
      </c>
    </row>
    <row r="72">
      <c r="A72" s="2" t="n">
        <v>45750</v>
      </c>
      <c r="B72" t="n">
        <v>0.84163</v>
      </c>
      <c r="C72" t="inlineStr">
        <is>
          <t>Banca d'Italia - tassi di cambio (ex UIC)</t>
        </is>
      </c>
    </row>
    <row r="73">
      <c r="A73" s="2" t="n">
        <v>45751</v>
      </c>
      <c r="B73" t="n">
        <v>0.84985</v>
      </c>
      <c r="C73" t="inlineStr">
        <is>
          <t>Banca d'Italia - tassi di cambio (ex UIC)</t>
        </is>
      </c>
    </row>
    <row r="74">
      <c r="A74" s="2" t="n">
        <v>45754</v>
      </c>
      <c r="B74" t="n">
        <v>0.85588</v>
      </c>
      <c r="C74" t="inlineStr">
        <is>
          <t>Banca d'Italia - tassi di cambio (ex UIC)</t>
        </is>
      </c>
    </row>
    <row r="75">
      <c r="A75" s="2" t="n">
        <v>45755</v>
      </c>
      <c r="B75" t="n">
        <v>0.85644</v>
      </c>
      <c r="C75" t="inlineStr">
        <is>
          <t>Banca d'Italia - tassi di cambio (ex UIC)</t>
        </is>
      </c>
    </row>
    <row r="76">
      <c r="A76" s="2" t="n">
        <v>45756</v>
      </c>
      <c r="B76" t="n">
        <v>0.86435</v>
      </c>
      <c r="C76" t="inlineStr">
        <is>
          <t>Banca d'Italia - tassi di cambio (ex UIC)</t>
        </is>
      </c>
    </row>
    <row r="77">
      <c r="A77" s="2" t="n">
        <v>45757</v>
      </c>
      <c r="B77" t="n">
        <v>0.85755</v>
      </c>
      <c r="C77" t="inlineStr">
        <is>
          <t>Banca d'Italia - tassi di cambio (ex UIC)</t>
        </is>
      </c>
    </row>
    <row r="78">
      <c r="A78" s="2" t="n">
        <v>45758</v>
      </c>
      <c r="B78" t="n">
        <v>0.86678</v>
      </c>
      <c r="C78" t="inlineStr">
        <is>
          <t>Banca d'Italia - tassi di cambio (ex UIC)</t>
        </is>
      </c>
    </row>
    <row r="79">
      <c r="A79" s="2" t="n">
        <v>45761</v>
      </c>
      <c r="B79" t="n">
        <v>0.86383</v>
      </c>
      <c r="C79" t="inlineStr">
        <is>
          <t>Banca d'Italia - tassi di cambio (ex UIC)</t>
        </is>
      </c>
    </row>
    <row r="80">
      <c r="A80" s="2" t="n">
        <v>45762</v>
      </c>
      <c r="B80" t="n">
        <v>0.8557</v>
      </c>
      <c r="C80" t="inlineStr">
        <is>
          <t>Banca d'Italia - tassi di cambio (ex UIC)</t>
        </is>
      </c>
    </row>
    <row r="81">
      <c r="A81" s="2" t="n">
        <v>45763</v>
      </c>
      <c r="B81" t="n">
        <v>0.8561800000000001</v>
      </c>
      <c r="C81" t="inlineStr">
        <is>
          <t>Banca d'Italia - tassi di cambio (ex UIC)</t>
        </is>
      </c>
    </row>
    <row r="82">
      <c r="A82" s="2" t="n">
        <v>45764</v>
      </c>
      <c r="B82" t="n">
        <v>0.85873</v>
      </c>
      <c r="C82" t="inlineStr">
        <is>
          <t>Banca d'Italia - tassi di cambio (ex UIC)</t>
        </is>
      </c>
    </row>
    <row r="83">
      <c r="A83" s="2" t="n">
        <v>45769</v>
      </c>
      <c r="B83" t="n">
        <v>0.85858</v>
      </c>
      <c r="C83" t="inlineStr">
        <is>
          <t>Banca d'Italia - tassi di cambio (ex UIC)</t>
        </is>
      </c>
    </row>
    <row r="84">
      <c r="A84" s="2" t="n">
        <v>45770</v>
      </c>
      <c r="B84" t="n">
        <v>0.85793</v>
      </c>
      <c r="C84" t="inlineStr">
        <is>
          <t>Banca d'Italia - tassi di cambio (ex UIC)</t>
        </is>
      </c>
    </row>
    <row r="85">
      <c r="A85" s="2" t="n">
        <v>45771</v>
      </c>
      <c r="B85" t="n">
        <v>0.855</v>
      </c>
      <c r="C85" t="inlineStr">
        <is>
          <t>Banca d'Italia - tassi di cambio (ex UIC)</t>
        </is>
      </c>
    </row>
    <row r="86">
      <c r="A86" s="2" t="n">
        <v>45772</v>
      </c>
      <c r="B86" t="n">
        <v>0.8531</v>
      </c>
      <c r="C86" t="inlineStr">
        <is>
          <t>Banca d'Italia - tassi di cambio (ex UIC)</t>
        </is>
      </c>
    </row>
    <row r="87">
      <c r="A87" s="2" t="n">
        <v>45775</v>
      </c>
      <c r="B87" t="n">
        <v>0.8514</v>
      </c>
      <c r="C87" t="inlineStr">
        <is>
          <t>Banca d'Italia - tassi di cambio (ex UIC)</t>
        </is>
      </c>
    </row>
    <row r="88">
      <c r="A88" s="2" t="n">
        <v>45776</v>
      </c>
      <c r="B88" t="n">
        <v>0.8498</v>
      </c>
      <c r="C88" t="inlineStr">
        <is>
          <t>Banca d'Italia - tassi di cambio (ex UIC)</t>
        </is>
      </c>
    </row>
    <row r="89">
      <c r="A89" s="2" t="n">
        <v>45777</v>
      </c>
      <c r="B89" t="n">
        <v>0.8518</v>
      </c>
      <c r="C89" t="inlineStr">
        <is>
          <t>Banca d'Italia - tassi di cambio (ex UIC)</t>
        </is>
      </c>
    </row>
    <row r="90">
      <c r="A90" s="2" t="n">
        <v>45779</v>
      </c>
      <c r="B90" t="n">
        <v>0.8532999999999999</v>
      </c>
      <c r="C90" t="inlineStr">
        <is>
          <t>Banca d'Italia - tassi di cambio (ex UIC)</t>
        </is>
      </c>
    </row>
    <row r="91">
      <c r="A91" s="2" t="n">
        <v>45782</v>
      </c>
      <c r="B91" t="n">
        <v>0.8515</v>
      </c>
      <c r="C91" t="inlineStr">
        <is>
          <t>Banca d'Italia - tassi di cambio (ex UIC)</t>
        </is>
      </c>
    </row>
    <row r="92">
      <c r="A92" s="2" t="n">
        <v>45783</v>
      </c>
      <c r="B92" t="n">
        <v>0.8469</v>
      </c>
      <c r="C92" t="inlineStr">
        <is>
          <t>Banca d'Italia - tassi di cambio (ex UIC)</t>
        </is>
      </c>
    </row>
    <row r="93">
      <c r="A93" s="2" t="n">
        <v>45784</v>
      </c>
      <c r="B93" t="n">
        <v>0.8511</v>
      </c>
      <c r="C93" t="inlineStr">
        <is>
          <t>Banca d'Italia - tassi di cambio (ex UIC)</t>
        </is>
      </c>
    </row>
    <row r="94">
      <c r="A94" s="2" t="n">
        <v>45785</v>
      </c>
      <c r="B94" t="n">
        <v>0.8476</v>
      </c>
      <c r="C94" t="inlineStr">
        <is>
          <t>Banca d'Italia - tassi di cambio (ex UIC)</t>
        </is>
      </c>
    </row>
    <row r="95">
      <c r="A95" s="2" t="n">
        <v>45786</v>
      </c>
      <c r="B95" t="n">
        <v>0.8477</v>
      </c>
      <c r="C95" t="inlineStr">
        <is>
          <t>Banca d'Italia - tassi di cambio (ex UIC)</t>
        </is>
      </c>
    </row>
    <row r="96">
      <c r="A96" s="2" t="n">
        <v>45789</v>
      </c>
      <c r="B96" t="n">
        <v>0.8429</v>
      </c>
      <c r="C96" t="inlineStr">
        <is>
          <t>Banca d'Italia - tassi di cambio (ex UIC)</t>
        </is>
      </c>
    </row>
    <row r="97">
      <c r="A97" s="2" t="n">
        <v>45790</v>
      </c>
      <c r="B97" t="n">
        <v>0.8406</v>
      </c>
      <c r="C97" t="inlineStr">
        <is>
          <t>Banca d'Italia - tassi di cambio (ex UIC)</t>
        </is>
      </c>
    </row>
    <row r="98">
      <c r="A98" s="2" t="n">
        <v>45791</v>
      </c>
      <c r="B98" t="n">
        <v>0.8415</v>
      </c>
      <c r="C98" t="inlineStr">
        <is>
          <t>Banca d'Italia - tassi di cambio (ex UIC)</t>
        </is>
      </c>
    </row>
    <row r="99">
      <c r="A99" s="2" t="n">
        <v>45792</v>
      </c>
      <c r="B99" t="n">
        <v>0.8424</v>
      </c>
      <c r="C99" t="inlineStr">
        <is>
          <t>Banca d'Italia - tassi di cambio (ex UIC)</t>
        </is>
      </c>
    </row>
    <row r="100">
      <c r="A100" s="2" t="n">
        <v>45793</v>
      </c>
      <c r="B100" t="n">
        <v>0.8427</v>
      </c>
      <c r="C100" t="inlineStr">
        <is>
          <t>Banca d'Italia - tassi di cambio (ex UIC)</t>
        </is>
      </c>
    </row>
    <row r="101">
      <c r="A101" s="2" t="n">
        <v>45796</v>
      </c>
      <c r="B101" t="n">
        <v>0.8419</v>
      </c>
      <c r="C101" t="inlineStr">
        <is>
          <t>Banca d'Italia - tassi di cambio (ex UIC)</t>
        </is>
      </c>
    </row>
    <row r="102">
      <c r="A102" s="2" t="n">
        <v>45797</v>
      </c>
      <c r="B102" t="n">
        <v>0.8418</v>
      </c>
      <c r="C102" t="inlineStr">
        <is>
          <t>Banca d'Italia - tassi di cambio (ex UIC)</t>
        </is>
      </c>
    </row>
    <row r="103">
      <c r="A103" s="2" t="n">
        <v>45798</v>
      </c>
      <c r="B103" t="n">
        <v>0.8446</v>
      </c>
      <c r="C103" t="inlineStr">
        <is>
          <t>Banca d'Italia - tassi di cambio (ex UIC)</t>
        </is>
      </c>
    </row>
    <row r="104">
      <c r="A104" s="2" t="n">
        <v>45799</v>
      </c>
      <c r="B104" t="n">
        <v>0.8427</v>
      </c>
      <c r="C104" t="inlineStr">
        <is>
          <t>Banca d'Italia - tassi di cambio (ex UIC)</t>
        </is>
      </c>
    </row>
    <row r="105">
      <c r="A105" s="2" t="n">
        <v>45800</v>
      </c>
      <c r="B105" t="n">
        <v>0.8381999999999999</v>
      </c>
      <c r="C105" t="inlineStr">
        <is>
          <t>Banca d'Italia - tassi di cambio (ex UIC)</t>
        </is>
      </c>
    </row>
    <row r="106">
      <c r="A106" s="2" t="n">
        <v>45803</v>
      </c>
      <c r="B106" t="n">
        <v>0.8391999999999999</v>
      </c>
      <c r="C106" t="inlineStr">
        <is>
          <t>Banca d'Italia - tassi di cambio (ex UIC)</t>
        </is>
      </c>
    </row>
    <row r="107">
      <c r="A107" s="2" t="n">
        <v>45804</v>
      </c>
      <c r="B107" t="n">
        <v>0.8381</v>
      </c>
      <c r="C107" t="inlineStr">
        <is>
          <t>Banca d'Italia - tassi di cambio (ex UIC)</t>
        </is>
      </c>
    </row>
    <row r="108">
      <c r="A108" s="2" t="n">
        <v>45805</v>
      </c>
      <c r="B108" t="n">
        <v>0.8398</v>
      </c>
      <c r="C108" t="inlineStr">
        <is>
          <t>Banca d'Italia - tassi di cambio (ex UIC)</t>
        </is>
      </c>
    </row>
    <row r="109">
      <c r="A109" s="2" t="n">
        <v>45806</v>
      </c>
      <c r="B109" t="n">
        <v>0.8377</v>
      </c>
      <c r="C109" t="inlineStr">
        <is>
          <t>Banca d'Italia - tassi di cambio (ex UIC)</t>
        </is>
      </c>
    </row>
    <row r="110">
      <c r="A110" s="2" t="n">
        <v>45807</v>
      </c>
      <c r="B110" t="n">
        <v>0.8411999999999999</v>
      </c>
      <c r="C110" t="inlineStr">
        <is>
          <t>Banca d'Italia - tassi di cambio (ex UIC)</t>
        </is>
      </c>
    </row>
    <row r="111">
      <c r="A111" s="2" t="n">
        <v>45810</v>
      </c>
      <c r="B111" t="n">
        <v>0.8434</v>
      </c>
      <c r="C111" t="inlineStr">
        <is>
          <t>Banca d'Italia - tassi di cambio (ex UIC)</t>
        </is>
      </c>
    </row>
    <row r="112">
      <c r="A112" s="2" t="n">
        <v>45811</v>
      </c>
      <c r="B112" t="n">
        <v>0.8436</v>
      </c>
      <c r="C112" t="inlineStr">
        <is>
          <t>Banca d'Italia - tassi di cambio (ex UIC)</t>
        </is>
      </c>
    </row>
    <row r="113">
      <c r="A113" s="2" t="n">
        <v>45812</v>
      </c>
      <c r="B113" t="n">
        <v>0.8421</v>
      </c>
      <c r="C113" t="inlineStr">
        <is>
          <t>Banca d'Italia - tassi di cambio (ex UIC)</t>
        </is>
      </c>
    </row>
    <row r="114">
      <c r="A114" s="2" t="n">
        <v>45813</v>
      </c>
      <c r="B114" t="n">
        <v>0.8419</v>
      </c>
      <c r="C114" t="inlineStr">
        <is>
          <t>Banca d'Italia - tassi di cambio (ex UIC)</t>
        </is>
      </c>
    </row>
    <row r="115">
      <c r="A115" s="2" t="n">
        <v>45814</v>
      </c>
      <c r="B115" t="n">
        <v>0.8426</v>
      </c>
      <c r="C115" t="inlineStr">
        <is>
          <t>Banca d'Italia - tassi di cambio (ex UIC)</t>
        </is>
      </c>
    </row>
    <row r="116">
      <c r="A116" s="2" t="n">
        <v>45817</v>
      </c>
      <c r="B116" t="n">
        <v>0.8424</v>
      </c>
      <c r="C116" t="inlineStr">
        <is>
          <t>Banca d'Italia - tassi di cambio (ex UIC)</t>
        </is>
      </c>
    </row>
    <row r="117">
      <c r="A117" s="2" t="n">
        <v>45818</v>
      </c>
      <c r="B117" t="n">
        <v>0.8464</v>
      </c>
      <c r="C117" t="inlineStr">
        <is>
          <t>Banca d'Italia - tassi di cambio (ex UIC)</t>
        </is>
      </c>
    </row>
    <row r="118">
      <c r="A118" s="2" t="n">
        <v>45819</v>
      </c>
      <c r="B118" t="n">
        <v>0.8476</v>
      </c>
      <c r="C118" t="inlineStr">
        <is>
          <t>Banca d'Italia - tassi di cambio (ex UIC)</t>
        </is>
      </c>
    </row>
    <row r="119">
      <c r="A119" s="2" t="n">
        <v>45820</v>
      </c>
      <c r="B119" t="n">
        <v>0.8538</v>
      </c>
      <c r="C119" t="inlineStr">
        <is>
          <t>Banca d'Italia - tassi di cambio (ex UIC)</t>
        </is>
      </c>
    </row>
    <row r="120">
      <c r="A120" s="2" t="n">
        <v>45821</v>
      </c>
      <c r="B120" t="n">
        <v>0.8505</v>
      </c>
      <c r="C120" t="inlineStr">
        <is>
          <t>Banca d'Italia - tassi di cambio (ex UIC)</t>
        </is>
      </c>
    </row>
    <row r="121">
      <c r="A121" s="2" t="n">
        <v>45824</v>
      </c>
      <c r="B121" t="n">
        <v>0.8522999999999999</v>
      </c>
      <c r="C121" t="inlineStr">
        <is>
          <t>Banca d'Italia - tassi di cambio (ex UIC)</t>
        </is>
      </c>
    </row>
    <row r="122">
      <c r="A122" s="2" t="n">
        <v>45825</v>
      </c>
      <c r="B122" t="n">
        <v>0.8525</v>
      </c>
      <c r="C122" t="inlineStr">
        <is>
          <t>Banca d'Italia - tassi di cambio (ex UIC)</t>
        </is>
      </c>
    </row>
    <row r="123">
      <c r="A123" s="2" t="n">
        <v>45826</v>
      </c>
      <c r="B123" t="n">
        <v>0.8552</v>
      </c>
      <c r="C123" t="inlineStr">
        <is>
          <t>Banca d'Italia - tassi di cambio (ex UIC)</t>
        </is>
      </c>
    </row>
    <row r="124">
      <c r="A124" s="2" t="n">
        <v>45827</v>
      </c>
      <c r="B124" t="n">
        <v>0.8541</v>
      </c>
      <c r="C124" t="inlineStr">
        <is>
          <t>Banca d'Italia - tassi di cambio (ex UIC)</t>
        </is>
      </c>
    </row>
    <row r="125">
      <c r="A125" s="2" t="n">
        <v>45828</v>
      </c>
      <c r="B125" t="n">
        <v>0.8537</v>
      </c>
      <c r="C125" t="inlineStr">
        <is>
          <t>Banca d'Italia - tassi di cambio (ex UIC)</t>
        </is>
      </c>
    </row>
    <row r="126">
      <c r="A126" s="2" t="n">
        <v>45831</v>
      </c>
      <c r="B126" t="n">
        <v>0.8567</v>
      </c>
      <c r="C126" t="inlineStr">
        <is>
          <t>Banca d'Italia - tassi di cambio (ex UIC)</t>
        </is>
      </c>
    </row>
    <row r="127">
      <c r="A127" s="2" t="n">
        <v>45832</v>
      </c>
      <c r="B127" t="n">
        <v>0.8527</v>
      </c>
      <c r="C127" t="inlineStr">
        <is>
          <t>Banca d'Italia - tassi di cambio (ex UIC)</t>
        </is>
      </c>
    </row>
    <row r="128">
      <c r="A128" s="2" t="n">
        <v>45833</v>
      </c>
      <c r="B128" t="n">
        <v>0.8526</v>
      </c>
      <c r="C128" t="inlineStr">
        <is>
          <t>Banca d'Italia - tassi di cambio (ex UIC)</t>
        </is>
      </c>
    </row>
    <row r="129">
      <c r="A129" s="2" t="n">
        <v>45834</v>
      </c>
      <c r="B129" t="n">
        <v>0.8535</v>
      </c>
      <c r="C129" t="inlineStr">
        <is>
          <t>Banca d'Italia - tassi di cambio (ex UIC)</t>
        </is>
      </c>
    </row>
    <row r="130">
      <c r="A130" s="2" t="n">
        <v>45835</v>
      </c>
      <c r="B130" t="n">
        <v>0.8529</v>
      </c>
      <c r="C130" t="inlineStr">
        <is>
          <t>Banca d'Italia - tassi di cambio (ex UIC)</t>
        </is>
      </c>
    </row>
    <row r="131">
      <c r="A131" s="2" t="n">
        <v>45838</v>
      </c>
      <c r="B131" t="n">
        <v>0.8555</v>
      </c>
      <c r="C131" t="inlineStr">
        <is>
          <t>Banca d'Italia - tassi di cambio (ex UIC)</t>
        </is>
      </c>
    </row>
    <row r="132">
      <c r="A132" s="2" t="n">
        <v>45839</v>
      </c>
      <c r="B132" t="n">
        <v>0.8588</v>
      </c>
      <c r="C132" t="inlineStr">
        <is>
          <t>Banca d'Italia - tassi di cambio (ex UIC)</t>
        </is>
      </c>
    </row>
    <row r="133">
      <c r="A133" s="2" t="n">
        <v>45840</v>
      </c>
      <c r="B133" t="n">
        <v>0.8605</v>
      </c>
      <c r="C133" t="inlineStr">
        <is>
          <t>Banca d'Italia - tassi di cambio (ex UIC)</t>
        </is>
      </c>
    </row>
    <row r="134">
      <c r="A134" s="2" t="n">
        <v>45841</v>
      </c>
      <c r="B134" t="n">
        <v>0.8629</v>
      </c>
      <c r="C134" t="inlineStr">
        <is>
          <t>Banca d'Italia - tassi di cambio (ex UIC)</t>
        </is>
      </c>
    </row>
    <row r="135">
      <c r="A135" s="2" t="n">
        <v>45842</v>
      </c>
      <c r="B135" t="n">
        <v>0.8625</v>
      </c>
      <c r="C135" t="inlineStr">
        <is>
          <t>Banca d'Italia - tassi di cambio (ex UIC)</t>
        </is>
      </c>
    </row>
    <row r="136">
      <c r="A136" s="2" t="n">
        <v>45845</v>
      </c>
      <c r="B136" t="n">
        <v>0.8611</v>
      </c>
      <c r="C136" t="inlineStr">
        <is>
          <t>Banca d'Italia - tassi di cambio (ex UIC)</t>
        </is>
      </c>
    </row>
    <row r="137">
      <c r="A137" s="2" t="n">
        <v>45846</v>
      </c>
      <c r="B137" t="n">
        <v>0.8632</v>
      </c>
      <c r="C137" t="inlineStr">
        <is>
          <t>Banca d'Italia - tassi di cambio (ex UIC)</t>
        </is>
      </c>
    </row>
    <row r="138">
      <c r="A138" s="2" t="n">
        <v>45847</v>
      </c>
      <c r="B138" t="n">
        <v>0.8613</v>
      </c>
      <c r="C138" t="inlineStr">
        <is>
          <t>Banca d'Italia - tassi di cambio (ex UIC)</t>
        </is>
      </c>
    </row>
    <row r="139">
      <c r="A139" s="2" t="n">
        <v>45848</v>
      </c>
      <c r="B139" t="n">
        <v>0.8627</v>
      </c>
      <c r="C139" t="inlineStr">
        <is>
          <t>Banca d'Italia - tassi di cambio (ex UIC)</t>
        </is>
      </c>
    </row>
    <row r="140">
      <c r="A140" s="2" t="n">
        <v>45849</v>
      </c>
      <c r="B140" t="n">
        <v>0.8657</v>
      </c>
      <c r="C140" t="inlineStr">
        <is>
          <t>Banca d'Italia - tassi di cambio (ex UIC)</t>
        </is>
      </c>
    </row>
    <row r="141">
      <c r="A141" s="2" t="n">
        <v>45852</v>
      </c>
      <c r="B141" t="n">
        <v>0.8667</v>
      </c>
      <c r="C141" t="inlineStr">
        <is>
          <t>Banca d'Italia - tassi di cambio (ex UIC)</t>
        </is>
      </c>
    </row>
    <row r="142">
      <c r="A142" s="2" t="n">
        <v>45853</v>
      </c>
      <c r="B142" t="n">
        <v>0.8679</v>
      </c>
      <c r="C142" t="inlineStr">
        <is>
          <t>Banca d'Italia - tassi di cambio (ex UIC)</t>
        </is>
      </c>
    </row>
    <row r="143">
      <c r="A143" s="2" t="n">
        <v>45854</v>
      </c>
      <c r="B143" t="n">
        <v>0.8659</v>
      </c>
      <c r="C143" t="inlineStr">
        <is>
          <t>Banca d'Italia - tassi di cambio (ex UIC)</t>
        </is>
      </c>
    </row>
    <row r="144">
      <c r="A144" s="2" t="n">
        <v>45855</v>
      </c>
      <c r="B144" t="n">
        <v>0.8643999999999999</v>
      </c>
      <c r="C144" t="inlineStr">
        <is>
          <t>Banca d'Italia - tassi di cambio (ex UIC)</t>
        </is>
      </c>
    </row>
    <row r="145">
      <c r="A145" s="2" t="n">
        <v>45856</v>
      </c>
      <c r="B145" t="n">
        <v>0.8656</v>
      </c>
      <c r="C145" t="inlineStr">
        <is>
          <t>Banca d'Italia - tassi di cambio (ex UIC)</t>
        </is>
      </c>
    </row>
    <row r="146">
      <c r="A146" s="2" t="n">
        <v>45859</v>
      </c>
      <c r="B146" t="n">
        <v>0.8656</v>
      </c>
      <c r="C146" t="inlineStr">
        <is>
          <t>Banca d'Italia - tassi di cambio (ex UIC)</t>
        </is>
      </c>
    </row>
    <row r="147">
      <c r="A147" s="2" t="n">
        <v>45860</v>
      </c>
      <c r="B147" t="n">
        <v>0.8675</v>
      </c>
      <c r="C147" t="inlineStr">
        <is>
          <t>Banca d'Italia - tassi di cambio (ex UIC)</t>
        </is>
      </c>
    </row>
    <row r="148">
      <c r="A148" s="2" t="n">
        <v>45861</v>
      </c>
      <c r="B148" t="n">
        <v>0.8665</v>
      </c>
      <c r="C148" t="inlineStr">
        <is>
          <t>Banca d'Italia - tassi di cambio (ex UIC)</t>
        </is>
      </c>
    </row>
    <row r="149">
      <c r="A149" s="2" t="n">
        <v>45862</v>
      </c>
      <c r="B149" t="n">
        <v>0.8675</v>
      </c>
      <c r="C149" t="inlineStr">
        <is>
          <t>Banca d'Italia - tassi di cambio (ex UIC)</t>
        </is>
      </c>
    </row>
    <row r="150">
      <c r="A150" s="2" t="n">
        <v>45863</v>
      </c>
      <c r="B150" t="n">
        <v>0.8715000000000001</v>
      </c>
      <c r="C150" t="inlineStr">
        <is>
          <t>Banca d'Italia - tassi di cambio (ex UIC)</t>
        </is>
      </c>
    </row>
    <row r="151">
      <c r="A151" s="2" t="n">
        <v>45866</v>
      </c>
      <c r="B151" t="n">
        <v>0.8679</v>
      </c>
      <c r="C151" t="inlineStr">
        <is>
          <t>Banca d'Italia - tassi di cambio (ex UIC)</t>
        </is>
      </c>
    </row>
    <row r="152">
      <c r="A152" s="2" t="n">
        <v>45867</v>
      </c>
      <c r="B152" t="n">
        <v>0.865</v>
      </c>
      <c r="C152" t="inlineStr">
        <is>
          <t>Banca d'Italia - tassi di cambio (ex UIC)</t>
        </is>
      </c>
    </row>
    <row r="153">
      <c r="A153" s="2" t="n">
        <v>45868</v>
      </c>
      <c r="B153" t="n">
        <v>0.8622</v>
      </c>
      <c r="C153" t="inlineStr">
        <is>
          <t>Banca d'Italia - tassi di cambio (ex UIC)</t>
        </is>
      </c>
    </row>
    <row r="154">
      <c r="A154" s="2" t="n">
        <v>45869</v>
      </c>
      <c r="B154" t="n">
        <v>0.8649</v>
      </c>
      <c r="C154" t="inlineStr">
        <is>
          <t>Banca d'Italia - tassi di cambio (ex UIC)</t>
        </is>
      </c>
    </row>
    <row r="155">
      <c r="A155" s="2" t="n">
        <v>45870</v>
      </c>
      <c r="B155" t="n">
        <v>0.8665</v>
      </c>
      <c r="C155" t="inlineStr">
        <is>
          <t>Banca d'Italia - tassi di cambio (ex UIC)</t>
        </is>
      </c>
    </row>
    <row r="156">
      <c r="A156" s="2" t="n">
        <v>45873</v>
      </c>
      <c r="B156" t="n">
        <v>0.8704</v>
      </c>
      <c r="C156" t="inlineStr">
        <is>
          <t>Banca d'Italia - tassi di cambio (ex UIC)</t>
        </is>
      </c>
    </row>
    <row r="157">
      <c r="A157" s="2" t="n">
        <v>45874</v>
      </c>
      <c r="B157" t="n">
        <v>0.8693</v>
      </c>
      <c r="C157" t="inlineStr">
        <is>
          <t>Banca d'Italia - tassi di cambio (ex UIC)</t>
        </is>
      </c>
    </row>
    <row r="158">
      <c r="A158" s="2" t="n">
        <v>45875</v>
      </c>
      <c r="B158" t="n">
        <v>0.8717</v>
      </c>
      <c r="C158" t="inlineStr">
        <is>
          <t>Banca d'Italia - tassi di cambio (ex UIC)</t>
        </is>
      </c>
    </row>
    <row r="159">
      <c r="A159" s="2" t="n">
        <v>45876</v>
      </c>
      <c r="B159" t="n">
        <v>0.8673</v>
      </c>
      <c r="C159" t="inlineStr">
        <is>
          <t>Banca d'Italia - tassi di cambio (ex UIC)</t>
        </is>
      </c>
    </row>
    <row r="160">
      <c r="A160" s="2" t="n">
        <v>45877</v>
      </c>
      <c r="B160" t="n">
        <v>0.8671</v>
      </c>
      <c r="C160" t="inlineStr">
        <is>
          <t>Banca d'Italia - tassi di cambio (ex UIC)</t>
        </is>
      </c>
    </row>
    <row r="161">
      <c r="A161" s="2" t="n">
        <v>45880</v>
      </c>
      <c r="B161" t="n">
        <v>0.8656</v>
      </c>
      <c r="C161" t="inlineStr">
        <is>
          <t>Banca d'Italia - tassi di cambio (ex UIC)</t>
        </is>
      </c>
    </row>
    <row r="162">
      <c r="A162" s="2" t="n">
        <v>45881</v>
      </c>
      <c r="B162" t="n">
        <v>0.8621</v>
      </c>
      <c r="C162" t="inlineStr">
        <is>
          <t>Banca d'Italia - tassi di cambio (ex UIC)</t>
        </is>
      </c>
    </row>
    <row r="163">
      <c r="A163" s="2" t="n">
        <v>45882</v>
      </c>
      <c r="B163" t="n">
        <v>0.8631</v>
      </c>
      <c r="C163" t="inlineStr">
        <is>
          <t>Banca d'Italia - tassi di cambio (ex UIC)</t>
        </is>
      </c>
    </row>
    <row r="164">
      <c r="A164" s="2" t="n">
        <v>45883</v>
      </c>
      <c r="B164" t="n">
        <v>0.861</v>
      </c>
      <c r="C164" t="inlineStr">
        <is>
          <t>Banca d'Italia - tassi di cambio (ex UIC)</t>
        </is>
      </c>
    </row>
    <row r="165">
      <c r="A165" s="2" t="n">
        <v>45884</v>
      </c>
      <c r="B165" t="n">
        <v>0.8622</v>
      </c>
      <c r="C165" t="inlineStr">
        <is>
          <t>Banca d'Italia - tassi di cambio (ex UIC)</t>
        </is>
      </c>
    </row>
    <row r="166">
      <c r="A166" s="2" t="n">
        <v>45887</v>
      </c>
      <c r="B166" t="n">
        <v>0.8621</v>
      </c>
      <c r="C166" t="inlineStr">
        <is>
          <t>Banca d'Italia - tassi di cambio (ex UIC)</t>
        </is>
      </c>
    </row>
    <row r="167">
      <c r="A167" s="2" t="n">
        <v>45888</v>
      </c>
      <c r="B167" t="n">
        <v>0.864</v>
      </c>
      <c r="C167" t="inlineStr">
        <is>
          <t>Banca d'Italia - tassi di cambio (ex UIC)</t>
        </is>
      </c>
    </row>
    <row r="168">
      <c r="A168" s="2" t="n">
        <v>45889</v>
      </c>
      <c r="B168" t="n">
        <v>0.8645</v>
      </c>
      <c r="C168" t="inlineStr">
        <is>
          <t>Banca d'Italia - tassi di cambio (ex UIC)</t>
        </is>
      </c>
    </row>
    <row r="169">
      <c r="A169" s="2" t="n">
        <v>45890</v>
      </c>
      <c r="B169" t="n">
        <v>0.8653999999999999</v>
      </c>
      <c r="C169" t="inlineStr">
        <is>
          <t>Banca d'Italia - tassi di cambio (ex UIC)</t>
        </is>
      </c>
    </row>
    <row r="170">
      <c r="A170" s="2" t="n">
        <v>45891</v>
      </c>
      <c r="B170" t="n">
        <v>0.8653</v>
      </c>
      <c r="C170" t="inlineStr">
        <is>
          <t>Banca d'Italia - tassi di cambio (ex UIC)</t>
        </is>
      </c>
    </row>
    <row r="171">
      <c r="A171" s="2" t="n">
        <v>45894</v>
      </c>
      <c r="B171" t="n">
        <v>0.8659</v>
      </c>
      <c r="C171" t="inlineStr">
        <is>
          <t>Banca d'Italia - tassi di cambio (ex UIC)</t>
        </is>
      </c>
    </row>
    <row r="172">
      <c r="A172" s="2" t="n">
        <v>45895</v>
      </c>
      <c r="B172" t="n">
        <v>0.8642</v>
      </c>
      <c r="C172" t="inlineStr">
        <is>
          <t>Banca d'Italia - tassi di cambio (ex UIC)</t>
        </is>
      </c>
    </row>
    <row r="173">
      <c r="A173" s="2" t="n">
        <v>45896</v>
      </c>
      <c r="B173" t="n">
        <v>0.8626</v>
      </c>
      <c r="C173" t="inlineStr">
        <is>
          <t>Banca d'Italia - tassi di cambio (ex UIC)</t>
        </is>
      </c>
    </row>
    <row r="174">
      <c r="A174" s="2" t="n">
        <v>45897</v>
      </c>
      <c r="B174" t="n">
        <v>0.8637</v>
      </c>
      <c r="C174" t="inlineStr">
        <is>
          <t>Banca d'Italia - tassi di cambio (ex UIC)</t>
        </is>
      </c>
    </row>
    <row r="175">
      <c r="A175" s="2" t="n">
        <v>45898</v>
      </c>
      <c r="B175" t="n">
        <v>0.8668</v>
      </c>
      <c r="C175" t="inlineStr">
        <is>
          <t>Banca d'Italia - tassi di cambio (ex UIC)</t>
        </is>
      </c>
    </row>
    <row r="176">
      <c r="A176" s="2" t="n">
        <v>45901</v>
      </c>
      <c r="B176" t="n">
        <v>0.8662</v>
      </c>
      <c r="C176" t="inlineStr">
        <is>
          <t>Banca d'Italia - tassi di cambio (ex UIC)</t>
        </is>
      </c>
    </row>
    <row r="177">
      <c r="A177" s="2" t="n">
        <v>45902</v>
      </c>
      <c r="B177" t="n">
        <v>0.8702</v>
      </c>
      <c r="C177" t="inlineStr">
        <is>
          <t>Banca d'Italia - tassi di cambio (ex UIC)</t>
        </is>
      </c>
    </row>
    <row r="178">
      <c r="A178" s="2" t="n">
        <v>45903</v>
      </c>
      <c r="B178" t="n">
        <v>0.8687</v>
      </c>
      <c r="C178" t="inlineStr">
        <is>
          <t>Banca d'Italia - tassi di cambio (ex UIC)</t>
        </is>
      </c>
    </row>
    <row r="179">
      <c r="A179" s="2" t="n">
        <v>45904</v>
      </c>
      <c r="B179" t="n">
        <v>0.8663</v>
      </c>
      <c r="C179" t="inlineStr">
        <is>
          <t>Banca d'Italia - tassi di cambio (ex UIC)</t>
        </is>
      </c>
    </row>
    <row r="180">
      <c r="A180" s="2" t="n">
        <v>45905</v>
      </c>
      <c r="B180" t="n">
        <v>0.8678</v>
      </c>
      <c r="C180" t="inlineStr">
        <is>
          <t>Banca d'Italia - tassi di cambio (ex UIC)</t>
        </is>
      </c>
    </row>
    <row r="181">
      <c r="A181" s="2" t="n">
        <v>45908</v>
      </c>
      <c r="B181" t="n">
        <v>0.8669</v>
      </c>
      <c r="C181" t="inlineStr">
        <is>
          <t>Banca d'Italia - tassi di cambio (ex UIC)</t>
        </is>
      </c>
    </row>
    <row r="182">
      <c r="A182" s="2" t="n">
        <v>45909</v>
      </c>
      <c r="B182" t="n">
        <v>0.8663</v>
      </c>
      <c r="C182" t="inlineStr">
        <is>
          <t>Banca d'Italia - tassi di cambio (ex UIC)</t>
        </is>
      </c>
    </row>
    <row r="183">
      <c r="A183" s="2" t="n">
        <v>45910</v>
      </c>
      <c r="B183" t="n">
        <v>0.865</v>
      </c>
      <c r="C183" t="inlineStr">
        <is>
          <t>Banca d'Italia - tassi di cambio (ex UIC)</t>
        </is>
      </c>
    </row>
    <row r="184">
      <c r="A184" s="2" t="n">
        <v>45911</v>
      </c>
      <c r="B184" t="n">
        <v>0.8647</v>
      </c>
      <c r="C184" t="inlineStr">
        <is>
          <t>Banca d'Italia - tassi di cambio (ex UIC)</t>
        </is>
      </c>
    </row>
    <row r="185">
      <c r="A185" s="2" t="n">
        <v>45912</v>
      </c>
      <c r="B185" t="n">
        <v>0.8653</v>
      </c>
      <c r="C185" t="inlineStr">
        <is>
          <t>Banca d'Italia - tassi di cambio (ex UIC)</t>
        </is>
      </c>
    </row>
    <row r="186">
      <c r="A186" s="2" t="n">
        <v>45915</v>
      </c>
      <c r="B186" t="n">
        <v>0.8641</v>
      </c>
      <c r="C186" t="inlineStr">
        <is>
          <t>Banca d'Italia - tassi di cambio (ex UIC)</t>
        </is>
      </c>
    </row>
    <row r="187">
      <c r="A187" s="2" t="n">
        <v>45916</v>
      </c>
      <c r="B187" t="n">
        <v>0.8656</v>
      </c>
      <c r="C187" t="inlineStr">
        <is>
          <t>Banca d'Italia - tassi di cambio (ex UIC)</t>
        </is>
      </c>
    </row>
    <row r="188">
      <c r="A188" s="2" t="n">
        <v>45917</v>
      </c>
      <c r="B188" t="n">
        <v>0.8675</v>
      </c>
      <c r="C188" t="inlineStr">
        <is>
          <t>Banca d'Italia - tassi di cambio (ex UIC)</t>
        </is>
      </c>
    </row>
    <row r="189">
      <c r="A189" s="2" t="n">
        <v>45918</v>
      </c>
      <c r="B189" t="n">
        <v>0.868</v>
      </c>
      <c r="C189" t="inlineStr">
        <is>
          <t>Banca d'Italia - tassi di cambio (ex UIC)</t>
        </is>
      </c>
    </row>
    <row r="190">
      <c r="A190" s="2" t="n">
        <v>45919</v>
      </c>
      <c r="B190" t="n">
        <v>0.8708</v>
      </c>
      <c r="C190" t="inlineStr">
        <is>
          <t>Banca d'Italia - tassi di cambio (ex UIC)</t>
        </is>
      </c>
    </row>
    <row r="191">
      <c r="A191" s="2" t="n">
        <v>45922</v>
      </c>
      <c r="B191" t="n">
        <v>0.8729</v>
      </c>
      <c r="C191" t="inlineStr">
        <is>
          <t>Banca d'Italia - tassi di cambio (ex UIC)</t>
        </is>
      </c>
    </row>
    <row r="192">
      <c r="A192" s="2" t="n">
        <v>45923</v>
      </c>
      <c r="B192" t="n">
        <v>0.8729</v>
      </c>
      <c r="C192" t="inlineStr">
        <is>
          <t>Banca d'Italia - tassi di cambio (ex UIC)</t>
        </is>
      </c>
    </row>
    <row r="193">
      <c r="A193" s="2" t="n">
        <v>45924</v>
      </c>
      <c r="B193" t="n">
        <v>0.8731</v>
      </c>
      <c r="C193" t="inlineStr">
        <is>
          <t>Banca d'Italia - tassi di cambio (ex UIC)</t>
        </is>
      </c>
    </row>
    <row r="194">
      <c r="A194" s="2" t="n">
        <v>45925</v>
      </c>
      <c r="B194" t="n">
        <v>0.8748</v>
      </c>
      <c r="C194" t="inlineStr">
        <is>
          <t>Banca d'Italia - tassi di cambio (ex UIC)</t>
        </is>
      </c>
    </row>
    <row r="195">
      <c r="A195" s="2" t="n">
        <v>45926</v>
      </c>
      <c r="B195" t="n">
        <v>0.874</v>
      </c>
      <c r="C195" t="inlineStr">
        <is>
          <t>Banca d'Italia - tassi di cambio (ex UIC)</t>
        </is>
      </c>
    </row>
    <row r="196">
      <c r="A196" s="2" t="n">
        <v>45929</v>
      </c>
      <c r="B196" t="n">
        <v>0.8723</v>
      </c>
      <c r="C196" t="inlineStr">
        <is>
          <t>Banca d'Italia - tassi di cambio (ex UIC)</t>
        </is>
      </c>
    </row>
    <row r="197">
      <c r="A197" s="2" t="n">
        <v>45930</v>
      </c>
      <c r="B197" t="n">
        <v>0.8734</v>
      </c>
      <c r="C197" t="inlineStr">
        <is>
          <t>Banca d'Italia - tassi di cambio (ex UIC)</t>
        </is>
      </c>
    </row>
    <row r="198">
      <c r="A198" s="2" t="n">
        <v>45931</v>
      </c>
      <c r="B198" t="n">
        <v>0.8704</v>
      </c>
      <c r="C198" t="inlineStr">
        <is>
          <t>Banca d'Italia - tassi di cambio (ex UIC)</t>
        </is>
      </c>
    </row>
    <row r="199">
      <c r="A199" s="2" t="n">
        <v>45932</v>
      </c>
      <c r="B199" t="n">
        <v>0.8721</v>
      </c>
      <c r="C199" t="inlineStr">
        <is>
          <t>Banca d'Italia - tassi di cambio (ex UIC)</t>
        </is>
      </c>
    </row>
    <row r="200">
      <c r="A200" s="2" t="n">
        <v>45933</v>
      </c>
      <c r="B200" t="n">
        <v>0.8726</v>
      </c>
      <c r="C200" t="inlineStr">
        <is>
          <t>Banca d'Italia - tassi di cambio (ex UIC)</t>
        </is>
      </c>
    </row>
    <row r="201">
      <c r="A201" s="2" t="n">
        <v>45936</v>
      </c>
      <c r="B201" t="n">
        <v>0.8695000000000001</v>
      </c>
      <c r="C201" t="inlineStr">
        <is>
          <t>Banca d'Italia - tassi di cambio (ex UIC)</t>
        </is>
      </c>
    </row>
    <row r="202">
      <c r="A202" s="2" t="n">
        <v>45937</v>
      </c>
      <c r="B202" t="n">
        <v>0.8703</v>
      </c>
      <c r="C202" t="inlineStr">
        <is>
          <t>Banca d'Italia - tassi di cambio (ex UIC)</t>
        </is>
      </c>
    </row>
    <row r="203">
      <c r="A203" s="2" t="n">
        <v>45938</v>
      </c>
      <c r="B203" t="n">
        <v>0.8671</v>
      </c>
      <c r="C203" t="inlineStr">
        <is>
          <t>Banca d'Italia - tassi di cambio (ex UIC)</t>
        </is>
      </c>
    </row>
    <row r="204">
      <c r="A204" s="2" t="n">
        <v>45939</v>
      </c>
      <c r="B204" t="n">
        <v>0.8683</v>
      </c>
      <c r="C204" t="inlineStr">
        <is>
          <t>Banca d'Italia - tassi di cambio (ex UIC)</t>
        </is>
      </c>
    </row>
    <row r="205">
      <c r="A205" s="2" t="n">
        <v>45940</v>
      </c>
      <c r="B205" t="n">
        <v>0.8709</v>
      </c>
      <c r="C205" t="inlineStr">
        <is>
          <t>Banca d'Italia - tassi di cambio (ex UIC)</t>
        </is>
      </c>
    </row>
    <row r="206">
      <c r="A206" s="2" t="n">
        <v>45943</v>
      </c>
      <c r="B206" t="n">
        <v>0.8677</v>
      </c>
      <c r="C206" t="inlineStr">
        <is>
          <t>Banca d'Italia - tassi di cambio (ex UIC)</t>
        </is>
      </c>
    </row>
    <row r="207">
      <c r="A207" s="2" t="n">
        <v>45944</v>
      </c>
      <c r="B207" t="n">
        <v>0.8712</v>
      </c>
      <c r="C207" t="inlineStr">
        <is>
          <t>Banca d'Italia - tassi di cambio (ex UIC)</t>
        </is>
      </c>
    </row>
    <row r="208">
      <c r="A208" s="2" t="n">
        <v>45945</v>
      </c>
      <c r="B208" t="n">
        <v>0.8705000000000001</v>
      </c>
      <c r="C208" t="inlineStr">
        <is>
          <t>Banca d'Italia - tassi di cambio (ex UIC)</t>
        </is>
      </c>
    </row>
    <row r="209">
      <c r="A209" s="2" t="n">
        <v>45946</v>
      </c>
      <c r="B209" t="n">
        <v>0.8676</v>
      </c>
      <c r="C209" t="inlineStr">
        <is>
          <t>Banca d'Italia - tassi di cambio (ex UIC)</t>
        </is>
      </c>
    </row>
    <row r="210">
      <c r="A210" s="2" t="n">
        <v>45947</v>
      </c>
      <c r="B210" t="n">
        <v>0.8695000000000001</v>
      </c>
      <c r="C210" t="inlineStr">
        <is>
          <t>Banca d'Italia - tassi di cambio (ex UIC)</t>
        </is>
      </c>
    </row>
    <row r="211">
      <c r="A211" s="2" t="n">
        <v>45950</v>
      </c>
      <c r="B211" t="n">
        <v>0.8691</v>
      </c>
      <c r="C211" t="inlineStr">
        <is>
          <t>Banca d'Italia - tassi di cambio (ex UIC)</t>
        </is>
      </c>
    </row>
    <row r="212">
      <c r="A212" s="2" t="n">
        <v>45951</v>
      </c>
      <c r="B212" t="n">
        <v>0.8678</v>
      </c>
      <c r="C212" t="inlineStr">
        <is>
          <t>Banca d'Italia - tassi di cambio (ex UIC)</t>
        </is>
      </c>
    </row>
    <row r="213">
      <c r="A213" s="2" t="n">
        <v>45952</v>
      </c>
      <c r="B213" t="n">
        <v>0.8689</v>
      </c>
      <c r="C213" t="inlineStr">
        <is>
          <t>Banca d'Italia - tassi di cambio (ex UIC)</t>
        </is>
      </c>
    </row>
    <row r="214">
      <c r="A214" s="2" t="n">
        <v>45953</v>
      </c>
      <c r="B214" t="n">
        <v>0.8691</v>
      </c>
      <c r="C214" t="inlineStr">
        <is>
          <t>Banca d'Italia - tassi di cambio (ex UIC)</t>
        </is>
      </c>
    </row>
    <row r="215">
      <c r="A215" s="2" t="n">
        <v>45954</v>
      </c>
      <c r="B215" t="n">
        <v>0.8726</v>
      </c>
      <c r="C215" t="inlineStr">
        <is>
          <t>Banca d'Italia - tassi di cambio (ex UIC)</t>
        </is>
      </c>
    </row>
    <row r="216">
      <c r="A216" s="2" t="n">
        <v>45957</v>
      </c>
      <c r="B216" t="n">
        <v>0.8721</v>
      </c>
      <c r="C216" t="inlineStr">
        <is>
          <t>Banca d'Italia - tassi di cambio (ex UIC)</t>
        </is>
      </c>
    </row>
    <row r="217">
      <c r="A217" s="2" t="n">
        <v>45958</v>
      </c>
      <c r="B217" t="n">
        <v>0.876</v>
      </c>
      <c r="C217" t="inlineStr">
        <is>
          <t>Banca d'Italia - tassi di cambio (ex UIC)</t>
        </is>
      </c>
    </row>
    <row r="218">
      <c r="A218" s="2" t="n">
        <v>45959</v>
      </c>
      <c r="B218" t="n">
        <v>0.8807</v>
      </c>
      <c r="C218" t="inlineStr">
        <is>
          <t>Banca d'Italia - tassi di cambio (ex UIC)</t>
        </is>
      </c>
    </row>
    <row r="219">
      <c r="A219" s="2" t="n">
        <v>45960</v>
      </c>
      <c r="B219" t="n">
        <v>0.8801</v>
      </c>
      <c r="C219" t="inlineStr">
        <is>
          <t>Banca d'Italia - tassi di cambio (ex UIC)</t>
        </is>
      </c>
    </row>
    <row r="220">
      <c r="A220" s="2" t="n">
        <v>45961</v>
      </c>
      <c r="B220" t="n">
        <v>0.8816000000000001</v>
      </c>
      <c r="C220" t="inlineStr">
        <is>
          <t>Banca d'Italia - tassi di cambio (ex UIC)</t>
        </is>
      </c>
    </row>
    <row r="221">
      <c r="A221" s="2" t="n">
        <v>45964</v>
      </c>
      <c r="B221" t="n">
        <v>0.8764999999999999</v>
      </c>
      <c r="C221" t="inlineStr">
        <is>
          <t>Banca d'Italia - tassi di cambio (ex UIC)</t>
        </is>
      </c>
    </row>
    <row r="222">
      <c r="A222" s="2" t="n">
        <v>45965</v>
      </c>
      <c r="B222" t="n">
        <v>0.8794999999999999</v>
      </c>
      <c r="C222" t="inlineStr">
        <is>
          <t>Banca d'Italia - tassi di cambio (ex UIC)</t>
        </is>
      </c>
    </row>
    <row r="223">
      <c r="A223" s="2" t="n">
        <v>45966</v>
      </c>
      <c r="B223" t="n">
        <v>0.881</v>
      </c>
      <c r="C223" t="inlineStr">
        <is>
          <t>Banca d'Italia - tassi di cambio (ex UIC)</t>
        </is>
      </c>
    </row>
    <row r="224">
      <c r="A224" s="2" t="n">
        <v>45967</v>
      </c>
      <c r="B224" t="n">
        <v>0.8807</v>
      </c>
      <c r="C224" t="inlineStr">
        <is>
          <t>Banca d'Italia - tassi di cambio (ex UIC)</t>
        </is>
      </c>
    </row>
    <row r="225">
      <c r="A225" s="2" t="n">
        <v>45968</v>
      </c>
      <c r="B225" t="n">
        <v>0.8811</v>
      </c>
      <c r="C225" t="inlineStr">
        <is>
          <t>Banca d'Italia - tassi di cambio (ex UIC)</t>
        </is>
      </c>
    </row>
    <row r="226">
      <c r="A226" s="2" t="n">
        <v>45971</v>
      </c>
      <c r="B226" t="n">
        <v>0.8778</v>
      </c>
      <c r="C226" t="inlineStr">
        <is>
          <t>Banca d'Italia - tassi di cambio (ex UIC)</t>
        </is>
      </c>
    </row>
    <row r="227">
      <c r="A227" s="2" t="n">
        <v>45972</v>
      </c>
      <c r="B227" t="n">
        <v>0.8804</v>
      </c>
      <c r="C227" t="inlineStr">
        <is>
          <t>Banca d'Italia - tassi di cambio (ex UIC)</t>
        </is>
      </c>
    </row>
    <row r="228">
      <c r="A228" s="2" t="n">
        <v>45973</v>
      </c>
      <c r="B228" t="n">
        <v>0.8823</v>
      </c>
      <c r="C228" t="inlineStr">
        <is>
          <t>Banca d'Italia - tassi di cambio (ex UIC)</t>
        </is>
      </c>
    </row>
    <row r="229">
      <c r="A229" s="2" t="n">
        <v>45974</v>
      </c>
      <c r="B229" t="n">
        <v>0.8819</v>
      </c>
      <c r="C229" t="inlineStr">
        <is>
          <t>Banca d'Italia - tassi di cambio (ex UIC)</t>
        </is>
      </c>
    </row>
    <row r="230">
      <c r="A230" s="2" t="n">
        <v>45975</v>
      </c>
      <c r="B230" t="n">
        <v>0.8846000000000001</v>
      </c>
      <c r="C230" t="inlineStr">
        <is>
          <t>Banca d'Italia - tassi di cambio (ex UIC)</t>
        </is>
      </c>
    </row>
    <row r="231">
      <c r="A231" s="2" t="n">
        <v>45978</v>
      </c>
      <c r="B231" t="n">
        <v>0.8794999999999999</v>
      </c>
      <c r="C231" t="inlineStr">
        <is>
          <t>Banca d'Italia - tassi di cambio (ex UIC)</t>
        </is>
      </c>
    </row>
    <row r="232">
      <c r="A232" s="2" t="n">
        <v>45979</v>
      </c>
      <c r="B232" t="n">
        <v>0.8821</v>
      </c>
      <c r="C232" t="inlineStr">
        <is>
          <t>Banca d'Italia - tassi di cambio (ex UIC)</t>
        </is>
      </c>
    </row>
    <row r="233">
      <c r="A233" s="2" t="n">
        <v>45980</v>
      </c>
      <c r="B233" t="n">
        <v>0.8827</v>
      </c>
      <c r="C233" t="inlineStr">
        <is>
          <t>Banca d'Italia - tassi di cambio (ex UIC)</t>
        </is>
      </c>
    </row>
    <row r="234">
      <c r="A234" s="2" t="n">
        <v>45981</v>
      </c>
      <c r="B234" t="n">
        <v>0.8815</v>
      </c>
      <c r="C234" t="inlineStr">
        <is>
          <t>Banca d'Italia - tassi di cambio (ex UIC)</t>
        </is>
      </c>
    </row>
    <row r="235">
      <c r="A235" s="2" t="n">
        <v>45982</v>
      </c>
      <c r="B235" t="n">
        <v>0.8803</v>
      </c>
      <c r="C235" t="inlineStr">
        <is>
          <t>Banca d'Italia - tassi di cambio (ex UIC)</t>
        </is>
      </c>
    </row>
    <row r="236">
      <c r="A236" s="2" t="n">
        <v>45985</v>
      </c>
      <c r="B236" t="n">
        <v>0.8804</v>
      </c>
      <c r="C236" t="inlineStr">
        <is>
          <t>Banca d'Italia - tassi di cambio (ex UIC)</t>
        </is>
      </c>
    </row>
    <row r="237">
      <c r="A237" s="2" t="n">
        <v>45986</v>
      </c>
      <c r="B237" t="n">
        <v>0.8788</v>
      </c>
      <c r="C237" t="inlineStr">
        <is>
          <t>Banca d'Italia - tassi di cambio (ex UIC)</t>
        </is>
      </c>
    </row>
    <row r="238">
      <c r="A238" s="2" t="n">
        <v>45987</v>
      </c>
      <c r="B238" t="n">
        <v>0.8776</v>
      </c>
      <c r="C238" t="inlineStr">
        <is>
          <t>Banca d'Italia - tassi di cambio (ex UIC)</t>
        </is>
      </c>
    </row>
    <row r="239">
      <c r="A239" s="2" t="n">
        <v>45988</v>
      </c>
      <c r="B239" t="n">
        <v>0.8754</v>
      </c>
      <c r="C239" t="inlineStr">
        <is>
          <t>Banca d'Italia - tassi di cambio (ex UIC)</t>
        </is>
      </c>
    </row>
    <row r="240">
      <c r="A240" s="2" t="n">
        <v>45989</v>
      </c>
      <c r="B240" t="n">
        <v>0.8752</v>
      </c>
      <c r="C240" t="inlineStr">
        <is>
          <t>Banca d'Italia - tassi di cambio (ex UIC)</t>
        </is>
      </c>
    </row>
    <row r="241">
      <c r="A241" s="2" t="n">
        <v>45992</v>
      </c>
      <c r="B241" t="n">
        <v>0.8778</v>
      </c>
      <c r="C241" t="inlineStr">
        <is>
          <t>Banca d'Italia - tassi di cambio (ex UIC)</t>
        </is>
      </c>
    </row>
    <row r="242">
      <c r="A242" s="2" t="n">
        <v>45993</v>
      </c>
      <c r="B242" t="n">
        <v>0.8796</v>
      </c>
      <c r="C242" t="inlineStr">
        <is>
          <t>Banca d'Italia - tassi di cambio (ex UIC)</t>
        </is>
      </c>
    </row>
    <row r="243">
      <c r="A243" s="2" t="n">
        <v>45994</v>
      </c>
      <c r="B243" t="n">
        <v>0.8766</v>
      </c>
      <c r="C243" t="inlineStr">
        <is>
          <t>Banca d'Italia - tassi di cambio (ex UIC)</t>
        </is>
      </c>
    </row>
    <row r="244">
      <c r="A244" s="2" t="n">
        <v>45995</v>
      </c>
      <c r="B244" t="n">
        <v>0.8745000000000001</v>
      </c>
      <c r="C244" t="inlineStr">
        <is>
          <t>Banca d'Italia - tassi di cambio (ex UIC)</t>
        </is>
      </c>
    </row>
    <row r="245">
      <c r="A245" s="2" t="n">
        <v>45996</v>
      </c>
      <c r="B245" t="n">
        <v>0.8727</v>
      </c>
      <c r="C245" t="inlineStr">
        <is>
          <t>Banca d'Italia - tassi di cambio (ex UIC)</t>
        </is>
      </c>
    </row>
    <row r="246">
      <c r="A246" s="2" t="n">
        <v>45999</v>
      </c>
      <c r="B246" t="n">
        <v>0.8746</v>
      </c>
      <c r="C246" t="inlineStr">
        <is>
          <t>Banca d'Italia - tassi di cambio (ex UIC)</t>
        </is>
      </c>
    </row>
    <row r="247">
      <c r="A247" s="2" t="n">
        <v>46000</v>
      </c>
      <c r="B247" t="n">
        <v>0.8735000000000001</v>
      </c>
      <c r="C247" t="inlineStr">
        <is>
          <t>Banca d'Italia - tassi di cambio (ex UIC)</t>
        </is>
      </c>
    </row>
    <row r="248">
      <c r="A248" s="2" t="n">
        <v>46001</v>
      </c>
      <c r="B248" t="n">
        <v>0.8741</v>
      </c>
      <c r="C248" t="inlineStr">
        <is>
          <t>Banca d'Italia - tassi di cambio (ex UIC)</t>
        </is>
      </c>
    </row>
    <row r="249">
      <c r="A249" s="2" t="n">
        <v>46002</v>
      </c>
      <c r="B249" t="n">
        <v>0.8751</v>
      </c>
      <c r="C249" t="inlineStr">
        <is>
          <t>Banca d'Italia - tassi di cambio (ex UIC)</t>
        </is>
      </c>
    </row>
    <row r="250">
      <c r="A250" s="2" t="n">
        <v>46003</v>
      </c>
      <c r="B250" t="n">
        <v>0.8767</v>
      </c>
      <c r="C250" t="inlineStr">
        <is>
          <t>Banca d'Italia - tassi di cambio (ex UIC)</t>
        </is>
      </c>
    </row>
    <row r="251">
      <c r="A251" s="2" t="n">
        <v>46006</v>
      </c>
      <c r="B251" t="n">
        <v>0.8779</v>
      </c>
      <c r="C251" t="inlineStr">
        <is>
          <t>Banca d'Italia - tassi di cambio (ex UIC)</t>
        </is>
      </c>
    </row>
    <row r="252">
      <c r="A252" s="2" t="n">
        <v>46007</v>
      </c>
      <c r="B252" t="n">
        <v>0.8764</v>
      </c>
      <c r="C252" t="inlineStr">
        <is>
          <t>Banca d'Italia - tassi di cambio (ex UIC)</t>
        </is>
      </c>
    </row>
    <row r="253">
      <c r="A253" s="2" t="n">
        <v>46008</v>
      </c>
      <c r="B253" t="n">
        <v>0.8784999999999999</v>
      </c>
      <c r="C253" t="inlineStr">
        <is>
          <t>Banca d'Italia - tassi di cambio (ex UIC)</t>
        </is>
      </c>
    </row>
    <row r="254">
      <c r="A254" s="2" t="n">
        <v>46009</v>
      </c>
      <c r="B254" t="n">
        <v>0.8746</v>
      </c>
      <c r="C254" t="inlineStr">
        <is>
          <t>Banca d'Italia - tassi di cambio (ex UIC)</t>
        </is>
      </c>
    </row>
    <row r="255">
      <c r="A255" s="2" t="n">
        <v>46010</v>
      </c>
      <c r="B255" t="n">
        <v>0.876</v>
      </c>
      <c r="C255" t="inlineStr">
        <is>
          <t>Banca d'Italia - tassi di cambio (ex UIC)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anno</t>
        </is>
      </c>
      <c r="B1" s="1" t="inlineStr">
        <is>
          <t>mese</t>
        </is>
      </c>
      <c r="C1" s="1" t="inlineStr">
        <is>
          <t>cambio medio GBP per 1 EUR</t>
        </is>
      </c>
      <c r="D1" s="1" t="inlineStr">
        <is>
          <t>fonte</t>
        </is>
      </c>
    </row>
    <row r="2">
      <c r="A2" t="n">
        <v>2024</v>
      </c>
      <c r="B2" t="n">
        <v>12</v>
      </c>
      <c r="C2" t="n">
        <v>0.82804</v>
      </c>
      <c r="D2" t="inlineStr">
        <is>
          <t>Medie mensili Banca d'Italia = provvedimenti Agenzia delle Entrate</t>
        </is>
      </c>
    </row>
    <row r="3">
      <c r="A3" t="n">
        <v>2025</v>
      </c>
      <c r="B3" t="n">
        <v>1</v>
      </c>
      <c r="C3" t="n">
        <v>0.83908</v>
      </c>
      <c r="D3" t="inlineStr">
        <is>
          <t>Medie mensili Banca d'Italia = provvedimenti Agenzia delle Entrate</t>
        </is>
      </c>
    </row>
    <row r="4">
      <c r="A4" t="n">
        <v>2025</v>
      </c>
      <c r="B4" t="n">
        <v>12</v>
      </c>
      <c r="C4" t="n">
        <v>0.875</v>
      </c>
      <c r="D4" t="inlineStr">
        <is>
          <t>Medie mensili Banca d'Italia = provvedimenti Agenzia delle Entrate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2026-10-08T15:02:09Z</dcterms:created>
  <dcterms:modified xmlns:dcterms="http://purl.org/dc/terms/" xmlns:xsi="http://www.w3.org/2001/XMLSchema-instance" xsi:type="dcterms:W3CDTF">2026-10-08T15:02:09Z</dcterms:modified>
</cp:coreProperties>
</file>